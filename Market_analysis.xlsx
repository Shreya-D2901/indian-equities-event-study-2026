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s" sheetId="1" r:id="rId5"/>
    <sheet state="visible" name="Events" sheetId="2" r:id="rId6"/>
    <sheet state="visible" name="Macro" sheetId="3" r:id="rId7"/>
    <sheet state="visible" name="Summary" sheetId="4" r:id="rId8"/>
    <sheet state="visible" name="Abnormal" sheetId="5" r:id="rId9"/>
    <sheet state="visible" name="Returns" sheetId="6" r:id="rId10"/>
  </sheets>
  <definedNames/>
  <calcPr/>
</workbook>
</file>

<file path=xl/sharedStrings.xml><?xml version="1.0" encoding="utf-8"?>
<sst xmlns="http://schemas.openxmlformats.org/spreadsheetml/2006/main" count="692" uniqueCount="20">
  <si>
    <t>Events</t>
  </si>
  <si>
    <t>Date</t>
  </si>
  <si>
    <t>USD/INR</t>
  </si>
  <si>
    <t>ONGC</t>
  </si>
  <si>
    <t>HAL</t>
  </si>
  <si>
    <t>TCS</t>
  </si>
  <si>
    <t>BPCL</t>
  </si>
  <si>
    <t>GOLDBEES</t>
  </si>
  <si>
    <t>War begins</t>
  </si>
  <si>
    <t>NIFTY</t>
  </si>
  <si>
    <t>Ceasefire announced</t>
  </si>
  <si>
    <t>Brent $111 / rupee record low</t>
  </si>
  <si>
    <t>Renewed US strikes</t>
  </si>
  <si>
    <t>Sensex 2026 low</t>
  </si>
  <si>
    <t>AVERAGE</t>
  </si>
  <si>
    <t>AVERAGE (events 1-4, 5-day)</t>
  </si>
  <si>
    <t>Annualized volatility:</t>
  </si>
  <si>
    <t>Beta vs Nifty</t>
  </si>
  <si>
    <t>Correlation with Nifty: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</si>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</sst>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0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9.0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</row>
    <row r="2">
      <c r="A2" s="4" t="str">
        <f>IFERROR(__xludf.DUMMYFUNCTION("GOOGLEFINANCE(""NSE:ONGC"",""close"",DATE(2026,1,1),TODAY(),""DAILY"")"),"Date")</f>
        <v>Date</v>
      </c>
      <c r="B2" s="4" t="str">
        <f>IFERROR(__xludf.DUMMYFUNCTION("""COMPUTED_VALUE"""),"Close")</f>
        <v>Close</v>
      </c>
      <c r="C2" s="4" t="str">
        <f>IFERROR(__xludf.DUMMYFUNCTION("INDEX(GOOGLEFINANCE(""NSE:HAL"",""close"",DATE(2026,1,1),TODAY(),""DAILY""),0,2)"),"Close")</f>
        <v>Close</v>
      </c>
      <c r="D2" s="4" t="str">
        <f>IFERROR(__xludf.DUMMYFUNCTION("INDEX(GOOGLEFINANCE(""NSE:TCS"",""close"",DATE(2026,1,1),TODAY(),""DAILY""),0,2)"),"Close")</f>
        <v>Close</v>
      </c>
      <c r="E2" s="4" t="str">
        <f>IFERROR(__xludf.DUMMYFUNCTION("INDEX(GOOGLEFINANCE(""NSE:BPCL"",""close"",DATE(2026,1,1),TODAY(),""DAILY""),0,2)"),"Close")</f>
        <v>Close</v>
      </c>
      <c r="F2" s="4" t="str">
        <f>IFERROR(__xludf.DUMMYFUNCTION("INDEX(GOOGLEFINANCE(""NSE:GOLDBEES"",""close"",DATE(2026,1,1),TODAY(),""DAILY""),0,2)"),"Close")</f>
        <v>Close</v>
      </c>
      <c r="G2" s="4" t="str">
        <f>IFERROR(__xludf.DUMMYFUNCTION("INDEX(GOOGLEFINANCE(""INDEXNSE:NIFTY_50"",""close"",DATE(2026,1,1),TODAY(),""DAILY""),0,2)"),"Close")</f>
        <v>Close</v>
      </c>
    </row>
    <row r="3">
      <c r="A3" s="5">
        <f>IFERROR(__xludf.DUMMYFUNCTION("""COMPUTED_VALUE"""),46023.64583333333)</f>
        <v>46023.64583</v>
      </c>
      <c r="B3" s="4">
        <f>IFERROR(__xludf.DUMMYFUNCTION("""COMPUTED_VALUE"""),237.94)</f>
        <v>237.94</v>
      </c>
      <c r="C3" s="4">
        <f>IFERROR(__xludf.DUMMYFUNCTION("""COMPUTED_VALUE"""),4397.9)</f>
        <v>4397.9</v>
      </c>
      <c r="D3" s="4">
        <f>IFERROR(__xludf.DUMMYFUNCTION("""COMPUTED_VALUE"""),3227.4)</f>
        <v>3227.4</v>
      </c>
      <c r="E3" s="4">
        <f>IFERROR(__xludf.DUMMYFUNCTION("""COMPUTED_VALUE"""),381.5)</f>
        <v>381.5</v>
      </c>
      <c r="F3" s="4">
        <f>IFERROR(__xludf.DUMMYFUNCTION("""COMPUTED_VALUE"""),110.52)</f>
        <v>110.52</v>
      </c>
      <c r="G3" s="4">
        <f>IFERROR(__xludf.DUMMYFUNCTION("""COMPUTED_VALUE"""),26146.55)</f>
        <v>26146.55</v>
      </c>
    </row>
    <row r="4">
      <c r="A4" s="5">
        <f>IFERROR(__xludf.DUMMYFUNCTION("""COMPUTED_VALUE"""),46024.64583333333)</f>
        <v>46024.64583</v>
      </c>
      <c r="B4" s="4">
        <f>IFERROR(__xludf.DUMMYFUNCTION("""COMPUTED_VALUE"""),241.46)</f>
        <v>241.46</v>
      </c>
      <c r="C4" s="4">
        <f>IFERROR(__xludf.DUMMYFUNCTION("""COMPUTED_VALUE"""),4417.8)</f>
        <v>4417.8</v>
      </c>
      <c r="D4" s="4">
        <f>IFERROR(__xludf.DUMMYFUNCTION("""COMPUTED_VALUE"""),3250.7)</f>
        <v>3250.7</v>
      </c>
      <c r="E4" s="4">
        <f>IFERROR(__xludf.DUMMYFUNCTION("""COMPUTED_VALUE"""),381.45)</f>
        <v>381.45</v>
      </c>
      <c r="F4" s="4">
        <f>IFERROR(__xludf.DUMMYFUNCTION("""COMPUTED_VALUE"""),111.82)</f>
        <v>111.82</v>
      </c>
      <c r="G4" s="4">
        <f>IFERROR(__xludf.DUMMYFUNCTION("""COMPUTED_VALUE"""),26328.55)</f>
        <v>26328.55</v>
      </c>
    </row>
    <row r="5">
      <c r="A5" s="5">
        <f>IFERROR(__xludf.DUMMYFUNCTION("""COMPUTED_VALUE"""),46027.64583333333)</f>
        <v>46027.64583</v>
      </c>
      <c r="B5" s="4">
        <f>IFERROR(__xludf.DUMMYFUNCTION("""COMPUTED_VALUE"""),238.09)</f>
        <v>238.09</v>
      </c>
      <c r="C5" s="4">
        <f>IFERROR(__xludf.DUMMYFUNCTION("""COMPUTED_VALUE"""),4526.1)</f>
        <v>4526.1</v>
      </c>
      <c r="D5" s="4">
        <f>IFERROR(__xludf.DUMMYFUNCTION("""COMPUTED_VALUE"""),3216.1)</f>
        <v>3216.1</v>
      </c>
      <c r="E5" s="4">
        <f>IFERROR(__xludf.DUMMYFUNCTION("""COMPUTED_VALUE"""),377.9)</f>
        <v>377.9</v>
      </c>
      <c r="F5" s="4">
        <f>IFERROR(__xludf.DUMMYFUNCTION("""COMPUTED_VALUE"""),112.92)</f>
        <v>112.92</v>
      </c>
      <c r="G5" s="4">
        <f>IFERROR(__xludf.DUMMYFUNCTION("""COMPUTED_VALUE"""),26250.3)</f>
        <v>26250.3</v>
      </c>
    </row>
    <row r="6">
      <c r="A6" s="5">
        <f>IFERROR(__xludf.DUMMYFUNCTION("""COMPUTED_VALUE"""),46028.64583333333)</f>
        <v>46028.64583</v>
      </c>
      <c r="B6" s="4">
        <f>IFERROR(__xludf.DUMMYFUNCTION("""COMPUTED_VALUE"""),241.89)</f>
        <v>241.89</v>
      </c>
      <c r="C6" s="4">
        <f>IFERROR(__xludf.DUMMYFUNCTION("""COMPUTED_VALUE"""),4516.0)</f>
        <v>4516</v>
      </c>
      <c r="D6" s="4">
        <f>IFERROR(__xludf.DUMMYFUNCTION("""COMPUTED_VALUE"""),3255.8)</f>
        <v>3255.8</v>
      </c>
      <c r="E6" s="4">
        <f>IFERROR(__xludf.DUMMYFUNCTION("""COMPUTED_VALUE"""),370.8)</f>
        <v>370.8</v>
      </c>
      <c r="F6" s="4">
        <f>IFERROR(__xludf.DUMMYFUNCTION("""COMPUTED_VALUE"""),113.14)</f>
        <v>113.14</v>
      </c>
      <c r="G6" s="4">
        <f>IFERROR(__xludf.DUMMYFUNCTION("""COMPUTED_VALUE"""),26178.7)</f>
        <v>26178.7</v>
      </c>
    </row>
    <row r="7">
      <c r="A7" s="5">
        <f>IFERROR(__xludf.DUMMYFUNCTION("""COMPUTED_VALUE"""),46029.64583333333)</f>
        <v>46029.64583</v>
      </c>
      <c r="B7" s="4">
        <f>IFERROR(__xludf.DUMMYFUNCTION("""COMPUTED_VALUE"""),239.06)</f>
        <v>239.06</v>
      </c>
      <c r="C7" s="4">
        <f>IFERROR(__xludf.DUMMYFUNCTION("""COMPUTED_VALUE"""),4525.1)</f>
        <v>4525.1</v>
      </c>
      <c r="D7" s="4">
        <f>IFERROR(__xludf.DUMMYFUNCTION("""COMPUTED_VALUE"""),3295.6)</f>
        <v>3295.6</v>
      </c>
      <c r="E7" s="4">
        <f>IFERROR(__xludf.DUMMYFUNCTION("""COMPUTED_VALUE"""),368.2)</f>
        <v>368.2</v>
      </c>
      <c r="F7" s="4">
        <f>IFERROR(__xludf.DUMMYFUNCTION("""COMPUTED_VALUE"""),112.91)</f>
        <v>112.91</v>
      </c>
      <c r="G7" s="4">
        <f>IFERROR(__xludf.DUMMYFUNCTION("""COMPUTED_VALUE"""),26140.75)</f>
        <v>26140.75</v>
      </c>
    </row>
    <row r="8">
      <c r="A8" s="5">
        <f>IFERROR(__xludf.DUMMYFUNCTION("""COMPUTED_VALUE"""),46030.64583333333)</f>
        <v>46030.64583</v>
      </c>
      <c r="B8" s="4">
        <f>IFERROR(__xludf.DUMMYFUNCTION("""COMPUTED_VALUE"""),231.42)</f>
        <v>231.42</v>
      </c>
      <c r="C8" s="4">
        <f>IFERROR(__xludf.DUMMYFUNCTION("""COMPUTED_VALUE"""),4479.8)</f>
        <v>4479.8</v>
      </c>
      <c r="D8" s="4">
        <f>IFERROR(__xludf.DUMMYFUNCTION("""COMPUTED_VALUE"""),3203.9)</f>
        <v>3203.9</v>
      </c>
      <c r="E8" s="4">
        <f>IFERROR(__xludf.DUMMYFUNCTION("""COMPUTED_VALUE"""),354.55)</f>
        <v>354.55</v>
      </c>
      <c r="F8" s="4">
        <f>IFERROR(__xludf.DUMMYFUNCTION("""COMPUTED_VALUE"""),112.29)</f>
        <v>112.29</v>
      </c>
      <c r="G8" s="4">
        <f>IFERROR(__xludf.DUMMYFUNCTION("""COMPUTED_VALUE"""),25876.85)</f>
        <v>25876.85</v>
      </c>
    </row>
    <row r="9">
      <c r="A9" s="5">
        <f>IFERROR(__xludf.DUMMYFUNCTION("""COMPUTED_VALUE"""),46031.64583333333)</f>
        <v>46031.64583</v>
      </c>
      <c r="B9" s="4">
        <f>IFERROR(__xludf.DUMMYFUNCTION("""COMPUTED_VALUE"""),234.09)</f>
        <v>234.09</v>
      </c>
      <c r="C9" s="4">
        <f>IFERROR(__xludf.DUMMYFUNCTION("""COMPUTED_VALUE"""),4462.1)</f>
        <v>4462.1</v>
      </c>
      <c r="D9" s="4">
        <f>IFERROR(__xludf.DUMMYFUNCTION("""COMPUTED_VALUE"""),3207.8)</f>
        <v>3207.8</v>
      </c>
      <c r="E9" s="4">
        <f>IFERROR(__xludf.DUMMYFUNCTION("""COMPUTED_VALUE"""),354.15)</f>
        <v>354.15</v>
      </c>
      <c r="F9" s="4">
        <f>IFERROR(__xludf.DUMMYFUNCTION("""COMPUTED_VALUE"""),113.61)</f>
        <v>113.61</v>
      </c>
      <c r="G9" s="4">
        <f>IFERROR(__xludf.DUMMYFUNCTION("""COMPUTED_VALUE"""),25683.3)</f>
        <v>25683.3</v>
      </c>
    </row>
    <row r="10">
      <c r="A10" s="5">
        <f>IFERROR(__xludf.DUMMYFUNCTION("""COMPUTED_VALUE"""),46034.64583333333)</f>
        <v>46034.64583</v>
      </c>
      <c r="B10" s="4">
        <f>IFERROR(__xludf.DUMMYFUNCTION("""COMPUTED_VALUE"""),235.71)</f>
        <v>235.71</v>
      </c>
      <c r="C10" s="4">
        <f>IFERROR(__xludf.DUMMYFUNCTION("""COMPUTED_VALUE"""),4518.4)</f>
        <v>4518.4</v>
      </c>
      <c r="D10" s="4">
        <f>IFERROR(__xludf.DUMMYFUNCTION("""COMPUTED_VALUE"""),3239.6)</f>
        <v>3239.6</v>
      </c>
      <c r="E10" s="4">
        <f>IFERROR(__xludf.DUMMYFUNCTION("""COMPUTED_VALUE"""),358.75)</f>
        <v>358.75</v>
      </c>
      <c r="F10" s="4">
        <f>IFERROR(__xludf.DUMMYFUNCTION("""COMPUTED_VALUE"""),116.76)</f>
        <v>116.76</v>
      </c>
      <c r="G10" s="4">
        <f>IFERROR(__xludf.DUMMYFUNCTION("""COMPUTED_VALUE"""),25790.25)</f>
        <v>25790.25</v>
      </c>
    </row>
    <row r="11">
      <c r="A11" s="5">
        <f>IFERROR(__xludf.DUMMYFUNCTION("""COMPUTED_VALUE"""),46035.64583333333)</f>
        <v>46035.64583</v>
      </c>
      <c r="B11" s="4">
        <f>IFERROR(__xludf.DUMMYFUNCTION("""COMPUTED_VALUE"""),243.78)</f>
        <v>243.78</v>
      </c>
      <c r="C11" s="4">
        <f>IFERROR(__xludf.DUMMYFUNCTION("""COMPUTED_VALUE"""),4452.4)</f>
        <v>4452.4</v>
      </c>
      <c r="D11" s="4">
        <f>IFERROR(__xludf.DUMMYFUNCTION("""COMPUTED_VALUE"""),3268.0)</f>
        <v>3268</v>
      </c>
      <c r="E11" s="4">
        <f>IFERROR(__xludf.DUMMYFUNCTION("""COMPUTED_VALUE"""),355.1)</f>
        <v>355.1</v>
      </c>
      <c r="F11" s="4">
        <f>IFERROR(__xludf.DUMMYFUNCTION("""COMPUTED_VALUE"""),116.37)</f>
        <v>116.37</v>
      </c>
      <c r="G11" s="4">
        <f>IFERROR(__xludf.DUMMYFUNCTION("""COMPUTED_VALUE"""),25732.3)</f>
        <v>25732.3</v>
      </c>
    </row>
    <row r="12">
      <c r="A12" s="5">
        <f>IFERROR(__xludf.DUMMYFUNCTION("""COMPUTED_VALUE"""),46036.64583333333)</f>
        <v>46036.64583</v>
      </c>
      <c r="B12" s="4">
        <f>IFERROR(__xludf.DUMMYFUNCTION("""COMPUTED_VALUE"""),248.23)</f>
        <v>248.23</v>
      </c>
      <c r="C12" s="4">
        <f>IFERROR(__xludf.DUMMYFUNCTION("""COMPUTED_VALUE"""),4461.4)</f>
        <v>4461.4</v>
      </c>
      <c r="D12" s="4">
        <f>IFERROR(__xludf.DUMMYFUNCTION("""COMPUTED_VALUE"""),3192.5)</f>
        <v>3192.5</v>
      </c>
      <c r="E12" s="4">
        <f>IFERROR(__xludf.DUMMYFUNCTION("""COMPUTED_VALUE"""),356.9)</f>
        <v>356.9</v>
      </c>
      <c r="F12" s="4">
        <f>IFERROR(__xludf.DUMMYFUNCTION("""COMPUTED_VALUE"""),118.01)</f>
        <v>118.01</v>
      </c>
      <c r="G12" s="4">
        <f>IFERROR(__xludf.DUMMYFUNCTION("""COMPUTED_VALUE"""),25665.6)</f>
        <v>25665.6</v>
      </c>
    </row>
    <row r="13">
      <c r="A13" s="5">
        <f>IFERROR(__xludf.DUMMYFUNCTION("""COMPUTED_VALUE"""),46038.64583333333)</f>
        <v>46038.64583</v>
      </c>
      <c r="B13" s="4">
        <f>IFERROR(__xludf.DUMMYFUNCTION("""COMPUTED_VALUE"""),247.17)</f>
        <v>247.17</v>
      </c>
      <c r="C13" s="4">
        <f>IFERROR(__xludf.DUMMYFUNCTION("""COMPUTED_VALUE"""),4428.7)</f>
        <v>4428.7</v>
      </c>
      <c r="D13" s="4">
        <f>IFERROR(__xludf.DUMMYFUNCTION("""COMPUTED_VALUE"""),3206.7)</f>
        <v>3206.7</v>
      </c>
      <c r="E13" s="4">
        <f>IFERROR(__xludf.DUMMYFUNCTION("""COMPUTED_VALUE"""),363.2)</f>
        <v>363.2</v>
      </c>
      <c r="F13" s="4">
        <f>IFERROR(__xludf.DUMMYFUNCTION("""COMPUTED_VALUE"""),117.78)</f>
        <v>117.78</v>
      </c>
      <c r="G13" s="4">
        <f>IFERROR(__xludf.DUMMYFUNCTION("""COMPUTED_VALUE"""),25694.35)</f>
        <v>25694.35</v>
      </c>
    </row>
    <row r="14">
      <c r="A14" s="5">
        <f>IFERROR(__xludf.DUMMYFUNCTION("""COMPUTED_VALUE"""),46041.64583333333)</f>
        <v>46041.64583</v>
      </c>
      <c r="B14" s="4">
        <f>IFERROR(__xludf.DUMMYFUNCTION("""COMPUTED_VALUE"""),243.11)</f>
        <v>243.11</v>
      </c>
      <c r="C14" s="4">
        <f>IFERROR(__xludf.DUMMYFUNCTION("""COMPUTED_VALUE"""),4504.3)</f>
        <v>4504.3</v>
      </c>
      <c r="D14" s="4">
        <f>IFERROR(__xludf.DUMMYFUNCTION("""COMPUTED_VALUE"""),3163.6)</f>
        <v>3163.6</v>
      </c>
      <c r="E14" s="4">
        <f>IFERROR(__xludf.DUMMYFUNCTION("""COMPUTED_VALUE"""),361.25)</f>
        <v>361.25</v>
      </c>
      <c r="F14" s="4">
        <f>IFERROR(__xludf.DUMMYFUNCTION("""COMPUTED_VALUE"""),121.1)</f>
        <v>121.1</v>
      </c>
      <c r="G14" s="4">
        <f>IFERROR(__xludf.DUMMYFUNCTION("""COMPUTED_VALUE"""),25585.5)</f>
        <v>25585.5</v>
      </c>
    </row>
    <row r="15">
      <c r="A15" s="5">
        <f>IFERROR(__xludf.DUMMYFUNCTION("""COMPUTED_VALUE"""),46042.64583333333)</f>
        <v>46042.64583</v>
      </c>
      <c r="B15" s="4">
        <f>IFERROR(__xludf.DUMMYFUNCTION("""COMPUTED_VALUE"""),240.39)</f>
        <v>240.39</v>
      </c>
      <c r="C15" s="4">
        <f>IFERROR(__xludf.DUMMYFUNCTION("""COMPUTED_VALUE"""),4355.2)</f>
        <v>4355.2</v>
      </c>
      <c r="D15" s="4">
        <f>IFERROR(__xludf.DUMMYFUNCTION("""COMPUTED_VALUE"""),3102.3)</f>
        <v>3102.3</v>
      </c>
      <c r="E15" s="4">
        <f>IFERROR(__xludf.DUMMYFUNCTION("""COMPUTED_VALUE"""),355.2)</f>
        <v>355.2</v>
      </c>
      <c r="F15" s="4">
        <f>IFERROR(__xludf.DUMMYFUNCTION("""COMPUTED_VALUE"""),125.86)</f>
        <v>125.86</v>
      </c>
      <c r="G15" s="4">
        <f>IFERROR(__xludf.DUMMYFUNCTION("""COMPUTED_VALUE"""),25232.5)</f>
        <v>25232.5</v>
      </c>
    </row>
    <row r="16">
      <c r="A16" s="5">
        <f>IFERROR(__xludf.DUMMYFUNCTION("""COMPUTED_VALUE"""),46043.64583333333)</f>
        <v>46043.64583</v>
      </c>
      <c r="B16" s="4">
        <f>IFERROR(__xludf.DUMMYFUNCTION("""COMPUTED_VALUE"""),242.37)</f>
        <v>242.37</v>
      </c>
      <c r="C16" s="4">
        <f>IFERROR(__xludf.DUMMYFUNCTION("""COMPUTED_VALUE"""),4259.4)</f>
        <v>4259.4</v>
      </c>
      <c r="D16" s="4">
        <f>IFERROR(__xludf.DUMMYFUNCTION("""COMPUTED_VALUE"""),3122.6)</f>
        <v>3122.6</v>
      </c>
      <c r="E16" s="4">
        <f>IFERROR(__xludf.DUMMYFUNCTION("""COMPUTED_VALUE"""),351.95)</f>
        <v>351.95</v>
      </c>
      <c r="F16" s="4">
        <f>IFERROR(__xludf.DUMMYFUNCTION("""COMPUTED_VALUE"""),134.97)</f>
        <v>134.97</v>
      </c>
      <c r="G16" s="4">
        <f>IFERROR(__xludf.DUMMYFUNCTION("""COMPUTED_VALUE"""),25157.5)</f>
        <v>25157.5</v>
      </c>
    </row>
    <row r="17">
      <c r="A17" s="5">
        <f>IFERROR(__xludf.DUMMYFUNCTION("""COMPUTED_VALUE"""),46044.64583333333)</f>
        <v>46044.64583</v>
      </c>
      <c r="B17" s="4">
        <f>IFERROR(__xludf.DUMMYFUNCTION("""COMPUTED_VALUE"""),244.01)</f>
        <v>244.01</v>
      </c>
      <c r="C17" s="4">
        <f>IFERROR(__xludf.DUMMYFUNCTION("""COMPUTED_VALUE"""),4353.2)</f>
        <v>4353.2</v>
      </c>
      <c r="D17" s="4">
        <f>IFERROR(__xludf.DUMMYFUNCTION("""COMPUTED_VALUE"""),3150.4)</f>
        <v>3150.4</v>
      </c>
      <c r="E17" s="4">
        <f>IFERROR(__xludf.DUMMYFUNCTION("""COMPUTED_VALUE"""),354.15)</f>
        <v>354.15</v>
      </c>
      <c r="F17" s="4">
        <f>IFERROR(__xludf.DUMMYFUNCTION("""COMPUTED_VALUE"""),124.34)</f>
        <v>124.34</v>
      </c>
      <c r="G17" s="4">
        <f>IFERROR(__xludf.DUMMYFUNCTION("""COMPUTED_VALUE"""),25289.9)</f>
        <v>25289.9</v>
      </c>
    </row>
    <row r="18">
      <c r="A18" s="5">
        <f>IFERROR(__xludf.DUMMYFUNCTION("""COMPUTED_VALUE"""),46045.64583333333)</f>
        <v>46045.64583</v>
      </c>
      <c r="B18" s="4">
        <f>IFERROR(__xludf.DUMMYFUNCTION("""COMPUTED_VALUE"""),245.47)</f>
        <v>245.47</v>
      </c>
      <c r="C18" s="4">
        <f>IFERROR(__xludf.DUMMYFUNCTION("""COMPUTED_VALUE"""),4305.7)</f>
        <v>4305.7</v>
      </c>
      <c r="D18" s="4">
        <f>IFERROR(__xludf.DUMMYFUNCTION("""COMPUTED_VALUE"""),3162.5)</f>
        <v>3162.5</v>
      </c>
      <c r="E18" s="4">
        <f>IFERROR(__xludf.DUMMYFUNCTION("""COMPUTED_VALUE"""),349.15)</f>
        <v>349.15</v>
      </c>
      <c r="F18" s="4">
        <f>IFERROR(__xludf.DUMMYFUNCTION("""COMPUTED_VALUE"""),127.42)</f>
        <v>127.42</v>
      </c>
      <c r="G18" s="4">
        <f>IFERROR(__xludf.DUMMYFUNCTION("""COMPUTED_VALUE"""),25048.65)</f>
        <v>25048.65</v>
      </c>
    </row>
    <row r="19">
      <c r="A19" s="5">
        <f>IFERROR(__xludf.DUMMYFUNCTION("""COMPUTED_VALUE"""),46049.64583333333)</f>
        <v>46049.64583</v>
      </c>
      <c r="B19" s="4">
        <f>IFERROR(__xludf.DUMMYFUNCTION("""COMPUTED_VALUE"""),247.95)</f>
        <v>247.95</v>
      </c>
      <c r="C19" s="4">
        <f>IFERROR(__xludf.DUMMYFUNCTION("""COMPUTED_VALUE"""),4348.5)</f>
        <v>4348.5</v>
      </c>
      <c r="D19" s="4">
        <f>IFERROR(__xludf.DUMMYFUNCTION("""COMPUTED_VALUE"""),3158.0)</f>
        <v>3158</v>
      </c>
      <c r="E19" s="4">
        <f>IFERROR(__xludf.DUMMYFUNCTION("""COMPUTED_VALUE"""),357.4)</f>
        <v>357.4</v>
      </c>
      <c r="F19" s="4">
        <f>IFERROR(__xludf.DUMMYFUNCTION("""COMPUTED_VALUE"""),131.45)</f>
        <v>131.45</v>
      </c>
      <c r="G19" s="4">
        <f>IFERROR(__xludf.DUMMYFUNCTION("""COMPUTED_VALUE"""),25175.4)</f>
        <v>25175.4</v>
      </c>
    </row>
    <row r="20">
      <c r="A20" s="5">
        <f>IFERROR(__xludf.DUMMYFUNCTION("""COMPUTED_VALUE"""),46050.64583333333)</f>
        <v>46050.64583</v>
      </c>
      <c r="B20" s="4">
        <f>IFERROR(__xludf.DUMMYFUNCTION("""COMPUTED_VALUE"""),268.58)</f>
        <v>268.58</v>
      </c>
      <c r="C20" s="4">
        <f>IFERROR(__xludf.DUMMYFUNCTION("""COMPUTED_VALUE"""),4624.0)</f>
        <v>4624</v>
      </c>
      <c r="D20" s="4">
        <f>IFERROR(__xludf.DUMMYFUNCTION("""COMPUTED_VALUE"""),3200.1)</f>
        <v>3200.1</v>
      </c>
      <c r="E20" s="4">
        <f>IFERROR(__xludf.DUMMYFUNCTION("""COMPUTED_VALUE"""),362.35)</f>
        <v>362.35</v>
      </c>
      <c r="F20" s="4">
        <f>IFERROR(__xludf.DUMMYFUNCTION("""COMPUTED_VALUE"""),135.82)</f>
        <v>135.82</v>
      </c>
      <c r="G20" s="4">
        <f>IFERROR(__xludf.DUMMYFUNCTION("""COMPUTED_VALUE"""),25342.75)</f>
        <v>25342.75</v>
      </c>
    </row>
    <row r="21">
      <c r="A21" s="5">
        <f>IFERROR(__xludf.DUMMYFUNCTION("""COMPUTED_VALUE"""),46051.64583333333)</f>
        <v>46051.64583</v>
      </c>
      <c r="B21" s="4">
        <f>IFERROR(__xludf.DUMMYFUNCTION("""COMPUTED_VALUE"""),275.39)</f>
        <v>275.39</v>
      </c>
      <c r="C21" s="4">
        <f>IFERROR(__xludf.DUMMYFUNCTION("""COMPUTED_VALUE"""),4601.0)</f>
        <v>4601</v>
      </c>
      <c r="D21" s="4">
        <f>IFERROR(__xludf.DUMMYFUNCTION("""COMPUTED_VALUE"""),3144.4)</f>
        <v>3144.4</v>
      </c>
      <c r="E21" s="4">
        <f>IFERROR(__xludf.DUMMYFUNCTION("""COMPUTED_VALUE"""),366.95)</f>
        <v>366.95</v>
      </c>
      <c r="F21" s="4">
        <f>IFERROR(__xludf.DUMMYFUNCTION("""COMPUTED_VALUE"""),146.53)</f>
        <v>146.53</v>
      </c>
      <c r="G21" s="4">
        <f>IFERROR(__xludf.DUMMYFUNCTION("""COMPUTED_VALUE"""),25418.9)</f>
        <v>25418.9</v>
      </c>
    </row>
    <row r="22">
      <c r="A22" s="5">
        <f>IFERROR(__xludf.DUMMYFUNCTION("""COMPUTED_VALUE"""),46052.64583333333)</f>
        <v>46052.64583</v>
      </c>
      <c r="B22" s="4">
        <f>IFERROR(__xludf.DUMMYFUNCTION("""COMPUTED_VALUE"""),268.96)</f>
        <v>268.96</v>
      </c>
      <c r="C22" s="4">
        <f>IFERROR(__xludf.DUMMYFUNCTION("""COMPUTED_VALUE"""),4619.4)</f>
        <v>4619.4</v>
      </c>
      <c r="D22" s="4">
        <f>IFERROR(__xludf.DUMMYFUNCTION("""COMPUTED_VALUE"""),3123.9)</f>
        <v>3123.9</v>
      </c>
      <c r="E22" s="4">
        <f>IFERROR(__xludf.DUMMYFUNCTION("""COMPUTED_VALUE"""),364.5)</f>
        <v>364.5</v>
      </c>
      <c r="F22" s="4">
        <f>IFERROR(__xludf.DUMMYFUNCTION("""COMPUTED_VALUE"""),131.12)</f>
        <v>131.12</v>
      </c>
      <c r="G22" s="4">
        <f>IFERROR(__xludf.DUMMYFUNCTION("""COMPUTED_VALUE"""),25320.65)</f>
        <v>25320.65</v>
      </c>
    </row>
    <row r="23">
      <c r="A23" s="5">
        <f>IFERROR(__xludf.DUMMYFUNCTION("""COMPUTED_VALUE"""),46055.64583333333)</f>
        <v>46055.64583</v>
      </c>
      <c r="B23" s="4">
        <f>IFERROR(__xludf.DUMMYFUNCTION("""COMPUTED_VALUE"""),253.95)</f>
        <v>253.95</v>
      </c>
      <c r="C23" s="4">
        <f>IFERROR(__xludf.DUMMYFUNCTION("""COMPUTED_VALUE"""),4338.7)</f>
        <v>4338.7</v>
      </c>
      <c r="D23" s="4">
        <f>IFERROR(__xludf.DUMMYFUNCTION("""COMPUTED_VALUE"""),3169.6)</f>
        <v>3169.6</v>
      </c>
      <c r="E23" s="4">
        <f>IFERROR(__xludf.DUMMYFUNCTION("""COMPUTED_VALUE"""),366.7)</f>
        <v>366.7</v>
      </c>
      <c r="F23" s="4">
        <f>IFERROR(__xludf.DUMMYFUNCTION("""COMPUTED_VALUE"""),118.67)</f>
        <v>118.67</v>
      </c>
      <c r="G23" s="4">
        <f>IFERROR(__xludf.DUMMYFUNCTION("""COMPUTED_VALUE"""),25088.4)</f>
        <v>25088.4</v>
      </c>
    </row>
    <row r="24">
      <c r="A24" s="5">
        <f>IFERROR(__xludf.DUMMYFUNCTION("""COMPUTED_VALUE"""),46056.64583333333)</f>
        <v>46056.64583</v>
      </c>
      <c r="B24" s="4">
        <f>IFERROR(__xludf.DUMMYFUNCTION("""COMPUTED_VALUE"""),257.0)</f>
        <v>257</v>
      </c>
      <c r="C24" s="4">
        <f>IFERROR(__xludf.DUMMYFUNCTION("""COMPUTED_VALUE"""),4470.4)</f>
        <v>4470.4</v>
      </c>
      <c r="D24" s="4">
        <f>IFERROR(__xludf.DUMMYFUNCTION("""COMPUTED_VALUE"""),3225.3)</f>
        <v>3225.3</v>
      </c>
      <c r="E24" s="4">
        <f>IFERROR(__xludf.DUMMYFUNCTION("""COMPUTED_VALUE"""),373.45)</f>
        <v>373.45</v>
      </c>
      <c r="F24" s="4">
        <f>IFERROR(__xludf.DUMMYFUNCTION("""COMPUTED_VALUE"""),125.2)</f>
        <v>125.2</v>
      </c>
      <c r="G24" s="4">
        <f>IFERROR(__xludf.DUMMYFUNCTION("""COMPUTED_VALUE"""),25727.55)</f>
        <v>25727.55</v>
      </c>
    </row>
    <row r="25">
      <c r="A25" s="5">
        <f>IFERROR(__xludf.DUMMYFUNCTION("""COMPUTED_VALUE"""),46057.64583333333)</f>
        <v>46057.64583</v>
      </c>
      <c r="B25" s="4">
        <f>IFERROR(__xludf.DUMMYFUNCTION("""COMPUTED_VALUE"""),266.95)</f>
        <v>266.95</v>
      </c>
      <c r="C25" s="4">
        <f>IFERROR(__xludf.DUMMYFUNCTION("""COMPUTED_VALUE"""),4217.1)</f>
        <v>4217.1</v>
      </c>
      <c r="D25" s="4">
        <f>IFERROR(__xludf.DUMMYFUNCTION("""COMPUTED_VALUE"""),2999.1)</f>
        <v>2999.1</v>
      </c>
      <c r="E25" s="4">
        <f>IFERROR(__xludf.DUMMYFUNCTION("""COMPUTED_VALUE"""),382.45)</f>
        <v>382.45</v>
      </c>
      <c r="F25" s="4">
        <f>IFERROR(__xludf.DUMMYFUNCTION("""COMPUTED_VALUE"""),129.6)</f>
        <v>129.6</v>
      </c>
      <c r="G25" s="4">
        <f>IFERROR(__xludf.DUMMYFUNCTION("""COMPUTED_VALUE"""),25776.0)</f>
        <v>25776</v>
      </c>
    </row>
    <row r="26">
      <c r="A26" s="5">
        <f>IFERROR(__xludf.DUMMYFUNCTION("""COMPUTED_VALUE"""),46058.64583333333)</f>
        <v>46058.64583</v>
      </c>
      <c r="B26" s="4">
        <f>IFERROR(__xludf.DUMMYFUNCTION("""COMPUTED_VALUE"""),269.2)</f>
        <v>269.2</v>
      </c>
      <c r="C26" s="4">
        <f>IFERROR(__xludf.DUMMYFUNCTION("""COMPUTED_VALUE"""),4035.5)</f>
        <v>4035.5</v>
      </c>
      <c r="D26" s="4">
        <f>IFERROR(__xludf.DUMMYFUNCTION("""COMPUTED_VALUE"""),2991.5)</f>
        <v>2991.5</v>
      </c>
      <c r="E26" s="4">
        <f>IFERROR(__xludf.DUMMYFUNCTION("""COMPUTED_VALUE"""),382.05)</f>
        <v>382.05</v>
      </c>
      <c r="F26" s="4">
        <f>IFERROR(__xludf.DUMMYFUNCTION("""COMPUTED_VALUE"""),125.22)</f>
        <v>125.22</v>
      </c>
      <c r="G26" s="4">
        <f>IFERROR(__xludf.DUMMYFUNCTION("""COMPUTED_VALUE"""),25642.8)</f>
        <v>25642.8</v>
      </c>
    </row>
    <row r="27">
      <c r="A27" s="5">
        <f>IFERROR(__xludf.DUMMYFUNCTION("""COMPUTED_VALUE"""),46059.64583333333)</f>
        <v>46059.64583</v>
      </c>
      <c r="B27" s="4">
        <f>IFERROR(__xludf.DUMMYFUNCTION("""COMPUTED_VALUE"""),268.95)</f>
        <v>268.95</v>
      </c>
      <c r="C27" s="4">
        <f>IFERROR(__xludf.DUMMYFUNCTION("""COMPUTED_VALUE"""),4067.5)</f>
        <v>4067.5</v>
      </c>
      <c r="D27" s="4">
        <f>IFERROR(__xludf.DUMMYFUNCTION("""COMPUTED_VALUE"""),2941.6)</f>
        <v>2941.6</v>
      </c>
      <c r="E27" s="4">
        <f>IFERROR(__xludf.DUMMYFUNCTION("""COMPUTED_VALUE"""),386.35)</f>
        <v>386.35</v>
      </c>
      <c r="F27" s="4">
        <f>IFERROR(__xludf.DUMMYFUNCTION("""COMPUTED_VALUE"""),125.04)</f>
        <v>125.04</v>
      </c>
      <c r="G27" s="4">
        <f>IFERROR(__xludf.DUMMYFUNCTION("""COMPUTED_VALUE"""),25693.7)</f>
        <v>25693.7</v>
      </c>
    </row>
    <row r="28">
      <c r="A28" s="5">
        <f>IFERROR(__xludf.DUMMYFUNCTION("""COMPUTED_VALUE"""),46062.64583333333)</f>
        <v>46062.64583</v>
      </c>
      <c r="B28" s="4">
        <f>IFERROR(__xludf.DUMMYFUNCTION("""COMPUTED_VALUE"""),266.6)</f>
        <v>266.6</v>
      </c>
      <c r="C28" s="4">
        <f>IFERROR(__xludf.DUMMYFUNCTION("""COMPUTED_VALUE"""),4131.0)</f>
        <v>4131</v>
      </c>
      <c r="D28" s="4">
        <f>IFERROR(__xludf.DUMMYFUNCTION("""COMPUTED_VALUE"""),2948.2)</f>
        <v>2948.2</v>
      </c>
      <c r="E28" s="4">
        <f>IFERROR(__xludf.DUMMYFUNCTION("""COMPUTED_VALUE"""),388.3)</f>
        <v>388.3</v>
      </c>
      <c r="F28" s="4">
        <f>IFERROR(__xludf.DUMMYFUNCTION("""COMPUTED_VALUE"""),127.98)</f>
        <v>127.98</v>
      </c>
      <c r="G28" s="4">
        <f>IFERROR(__xludf.DUMMYFUNCTION("""COMPUTED_VALUE"""),25867.3)</f>
        <v>25867.3</v>
      </c>
    </row>
    <row r="29">
      <c r="A29" s="5">
        <f>IFERROR(__xludf.DUMMYFUNCTION("""COMPUTED_VALUE"""),46063.64583333333)</f>
        <v>46063.64583</v>
      </c>
      <c r="B29" s="4">
        <f>IFERROR(__xludf.DUMMYFUNCTION("""COMPUTED_VALUE"""),272.15)</f>
        <v>272.15</v>
      </c>
      <c r="C29" s="4">
        <f>IFERROR(__xludf.DUMMYFUNCTION("""COMPUTED_VALUE"""),4168.3)</f>
        <v>4168.3</v>
      </c>
      <c r="D29" s="4">
        <f>IFERROR(__xludf.DUMMYFUNCTION("""COMPUTED_VALUE"""),2984.6)</f>
        <v>2984.6</v>
      </c>
      <c r="E29" s="4">
        <f>IFERROR(__xludf.DUMMYFUNCTION("""COMPUTED_VALUE"""),386.35)</f>
        <v>386.35</v>
      </c>
      <c r="F29" s="4">
        <f>IFERROR(__xludf.DUMMYFUNCTION("""COMPUTED_VALUE"""),128.34)</f>
        <v>128.34</v>
      </c>
      <c r="G29" s="4">
        <f>IFERROR(__xludf.DUMMYFUNCTION("""COMPUTED_VALUE"""),25935.15)</f>
        <v>25935.15</v>
      </c>
    </row>
    <row r="30">
      <c r="A30" s="5">
        <f>IFERROR(__xludf.DUMMYFUNCTION("""COMPUTED_VALUE"""),46064.64583333333)</f>
        <v>46064.64583</v>
      </c>
      <c r="B30" s="4">
        <f>IFERROR(__xludf.DUMMYFUNCTION("""COMPUTED_VALUE"""),274.6)</f>
        <v>274.6</v>
      </c>
      <c r="C30" s="4">
        <f>IFERROR(__xludf.DUMMYFUNCTION("""COMPUTED_VALUE"""),4133.0)</f>
        <v>4133</v>
      </c>
      <c r="D30" s="4">
        <f>IFERROR(__xludf.DUMMYFUNCTION("""COMPUTED_VALUE"""),2909.8)</f>
        <v>2909.8</v>
      </c>
      <c r="E30" s="4">
        <f>IFERROR(__xludf.DUMMYFUNCTION("""COMPUTED_VALUE"""),387.6)</f>
        <v>387.6</v>
      </c>
      <c r="F30" s="4">
        <f>IFERROR(__xludf.DUMMYFUNCTION("""COMPUTED_VALUE"""),128.7)</f>
        <v>128.7</v>
      </c>
      <c r="G30" s="4">
        <f>IFERROR(__xludf.DUMMYFUNCTION("""COMPUTED_VALUE"""),25953.85)</f>
        <v>25953.85</v>
      </c>
    </row>
    <row r="31">
      <c r="A31" s="5">
        <f>IFERROR(__xludf.DUMMYFUNCTION("""COMPUTED_VALUE"""),46065.64583333333)</f>
        <v>46065.64583</v>
      </c>
      <c r="B31" s="4">
        <f>IFERROR(__xludf.DUMMYFUNCTION("""COMPUTED_VALUE"""),276.35)</f>
        <v>276.35</v>
      </c>
      <c r="C31" s="4">
        <f>IFERROR(__xludf.DUMMYFUNCTION("""COMPUTED_VALUE"""),4158.9)</f>
        <v>4158.9</v>
      </c>
      <c r="D31" s="4">
        <f>IFERROR(__xludf.DUMMYFUNCTION("""COMPUTED_VALUE"""),2750.1)</f>
        <v>2750.1</v>
      </c>
      <c r="E31" s="4">
        <f>IFERROR(__xludf.DUMMYFUNCTION("""COMPUTED_VALUE"""),377.7)</f>
        <v>377.7</v>
      </c>
      <c r="F31" s="4">
        <f>IFERROR(__xludf.DUMMYFUNCTION("""COMPUTED_VALUE"""),128.52)</f>
        <v>128.52</v>
      </c>
      <c r="G31" s="4">
        <f>IFERROR(__xludf.DUMMYFUNCTION("""COMPUTED_VALUE"""),25807.2)</f>
        <v>25807.2</v>
      </c>
    </row>
    <row r="32">
      <c r="A32" s="5">
        <f>IFERROR(__xludf.DUMMYFUNCTION("""COMPUTED_VALUE"""),46066.64583333333)</f>
        <v>46066.64583</v>
      </c>
      <c r="B32" s="4">
        <f>IFERROR(__xludf.DUMMYFUNCTION("""COMPUTED_VALUE"""),267.4)</f>
        <v>267.4</v>
      </c>
      <c r="C32" s="4">
        <f>IFERROR(__xludf.DUMMYFUNCTION("""COMPUTED_VALUE"""),4212.4)</f>
        <v>4212.4</v>
      </c>
      <c r="D32" s="4">
        <f>IFERROR(__xludf.DUMMYFUNCTION("""COMPUTED_VALUE"""),2692.2)</f>
        <v>2692.2</v>
      </c>
      <c r="E32" s="4">
        <f>IFERROR(__xludf.DUMMYFUNCTION("""COMPUTED_VALUE"""),374.1)</f>
        <v>374.1</v>
      </c>
      <c r="F32" s="4">
        <f>IFERROR(__xludf.DUMMYFUNCTION("""COMPUTED_VALUE"""),126.1)</f>
        <v>126.1</v>
      </c>
      <c r="G32" s="4">
        <f>IFERROR(__xludf.DUMMYFUNCTION("""COMPUTED_VALUE"""),25471.1)</f>
        <v>25471.1</v>
      </c>
    </row>
    <row r="33">
      <c r="A33" s="5">
        <f>IFERROR(__xludf.DUMMYFUNCTION("""COMPUTED_VALUE"""),46069.64583333333)</f>
        <v>46069.64583</v>
      </c>
      <c r="B33" s="4">
        <f>IFERROR(__xludf.DUMMYFUNCTION("""COMPUTED_VALUE"""),271.55)</f>
        <v>271.55</v>
      </c>
      <c r="C33" s="4">
        <f>IFERROR(__xludf.DUMMYFUNCTION("""COMPUTED_VALUE"""),4226.1)</f>
        <v>4226.1</v>
      </c>
      <c r="D33" s="4">
        <f>IFERROR(__xludf.DUMMYFUNCTION("""COMPUTED_VALUE"""),2706.6)</f>
        <v>2706.6</v>
      </c>
      <c r="E33" s="4">
        <f>IFERROR(__xludf.DUMMYFUNCTION("""COMPUTED_VALUE"""),374.35)</f>
        <v>374.35</v>
      </c>
      <c r="F33" s="4">
        <f>IFERROR(__xludf.DUMMYFUNCTION("""COMPUTED_VALUE"""),126.92)</f>
        <v>126.92</v>
      </c>
      <c r="G33" s="4">
        <f>IFERROR(__xludf.DUMMYFUNCTION("""COMPUTED_VALUE"""),25682.75)</f>
        <v>25682.75</v>
      </c>
    </row>
    <row r="34">
      <c r="A34" s="5">
        <f>IFERROR(__xludf.DUMMYFUNCTION("""COMPUTED_VALUE"""),46070.64583333333)</f>
        <v>46070.64583</v>
      </c>
      <c r="B34" s="4">
        <f>IFERROR(__xludf.DUMMYFUNCTION("""COMPUTED_VALUE"""),271.85)</f>
        <v>271.85</v>
      </c>
      <c r="C34" s="4">
        <f>IFERROR(__xludf.DUMMYFUNCTION("""COMPUTED_VALUE"""),4247.6)</f>
        <v>4247.6</v>
      </c>
      <c r="D34" s="4">
        <f>IFERROR(__xludf.DUMMYFUNCTION("""COMPUTED_VALUE"""),2717.4)</f>
        <v>2717.4</v>
      </c>
      <c r="E34" s="4">
        <f>IFERROR(__xludf.DUMMYFUNCTION("""COMPUTED_VALUE"""),374.95)</f>
        <v>374.95</v>
      </c>
      <c r="F34" s="4">
        <f>IFERROR(__xludf.DUMMYFUNCTION("""COMPUTED_VALUE"""),124.58)</f>
        <v>124.58</v>
      </c>
      <c r="G34" s="4">
        <f>IFERROR(__xludf.DUMMYFUNCTION("""COMPUTED_VALUE"""),25725.4)</f>
        <v>25725.4</v>
      </c>
    </row>
    <row r="35">
      <c r="A35" s="5">
        <f>IFERROR(__xludf.DUMMYFUNCTION("""COMPUTED_VALUE"""),46071.64583333333)</f>
        <v>46071.64583</v>
      </c>
      <c r="B35" s="4">
        <f>IFERROR(__xludf.DUMMYFUNCTION("""COMPUTED_VALUE"""),264.6)</f>
        <v>264.6</v>
      </c>
      <c r="C35" s="4">
        <f>IFERROR(__xludf.DUMMYFUNCTION("""COMPUTED_VALUE"""),4251.1)</f>
        <v>4251.1</v>
      </c>
      <c r="D35" s="4">
        <f>IFERROR(__xludf.DUMMYFUNCTION("""COMPUTED_VALUE"""),2694.9)</f>
        <v>2694.9</v>
      </c>
      <c r="E35" s="4">
        <f>IFERROR(__xludf.DUMMYFUNCTION("""COMPUTED_VALUE"""),380.9)</f>
        <v>380.9</v>
      </c>
      <c r="F35" s="4">
        <f>IFERROR(__xludf.DUMMYFUNCTION("""COMPUTED_VALUE"""),124.64)</f>
        <v>124.64</v>
      </c>
      <c r="G35" s="4">
        <f>IFERROR(__xludf.DUMMYFUNCTION("""COMPUTED_VALUE"""),25819.35)</f>
        <v>25819.35</v>
      </c>
    </row>
    <row r="36">
      <c r="A36" s="5">
        <f>IFERROR(__xludf.DUMMYFUNCTION("""COMPUTED_VALUE"""),46072.64583333333)</f>
        <v>46072.64583</v>
      </c>
      <c r="B36" s="4">
        <f>IFERROR(__xludf.DUMMYFUNCTION("""COMPUTED_VALUE"""),274.65)</f>
        <v>274.65</v>
      </c>
      <c r="C36" s="4">
        <f>IFERROR(__xludf.DUMMYFUNCTION("""COMPUTED_VALUE"""),4132.6)</f>
        <v>4132.6</v>
      </c>
      <c r="D36" s="4">
        <f>IFERROR(__xludf.DUMMYFUNCTION("""COMPUTED_VALUE"""),2677.9)</f>
        <v>2677.9</v>
      </c>
      <c r="E36" s="4">
        <f>IFERROR(__xludf.DUMMYFUNCTION("""COMPUTED_VALUE"""),367.65)</f>
        <v>367.65</v>
      </c>
      <c r="F36" s="4">
        <f>IFERROR(__xludf.DUMMYFUNCTION("""COMPUTED_VALUE"""),127.09)</f>
        <v>127.09</v>
      </c>
      <c r="G36" s="4">
        <f>IFERROR(__xludf.DUMMYFUNCTION("""COMPUTED_VALUE"""),25454.35)</f>
        <v>25454.35</v>
      </c>
    </row>
    <row r="37">
      <c r="A37" s="5">
        <f>IFERROR(__xludf.DUMMYFUNCTION("""COMPUTED_VALUE"""),46073.64583333333)</f>
        <v>46073.64583</v>
      </c>
      <c r="B37" s="4">
        <f>IFERROR(__xludf.DUMMYFUNCTION("""COMPUTED_VALUE"""),278.65)</f>
        <v>278.65</v>
      </c>
      <c r="C37" s="4">
        <f>IFERROR(__xludf.DUMMYFUNCTION("""COMPUTED_VALUE"""),4170.0)</f>
        <v>4170</v>
      </c>
      <c r="D37" s="4">
        <f>IFERROR(__xludf.DUMMYFUNCTION("""COMPUTED_VALUE"""),2686.2)</f>
        <v>2686.2</v>
      </c>
      <c r="E37" s="4">
        <f>IFERROR(__xludf.DUMMYFUNCTION("""COMPUTED_VALUE"""),366.3)</f>
        <v>366.3</v>
      </c>
      <c r="F37" s="4">
        <f>IFERROR(__xludf.DUMMYFUNCTION("""COMPUTED_VALUE"""),127.54)</f>
        <v>127.54</v>
      </c>
      <c r="G37" s="4">
        <f>IFERROR(__xludf.DUMMYFUNCTION("""COMPUTED_VALUE"""),25571.25)</f>
        <v>25571.25</v>
      </c>
    </row>
    <row r="38">
      <c r="A38" s="5">
        <f>IFERROR(__xludf.DUMMYFUNCTION("""COMPUTED_VALUE"""),46076.64583333333)</f>
        <v>46076.64583</v>
      </c>
      <c r="B38" s="4">
        <f>IFERROR(__xludf.DUMMYFUNCTION("""COMPUTED_VALUE"""),275.65)</f>
        <v>275.65</v>
      </c>
      <c r="C38" s="4">
        <f>IFERROR(__xludf.DUMMYFUNCTION("""COMPUTED_VALUE"""),4025.4)</f>
        <v>4025.4</v>
      </c>
      <c r="D38" s="4">
        <f>IFERROR(__xludf.DUMMYFUNCTION("""COMPUTED_VALUE"""),2676.3)</f>
        <v>2676.3</v>
      </c>
      <c r="E38" s="4">
        <f>IFERROR(__xludf.DUMMYFUNCTION("""COMPUTED_VALUE"""),372.1)</f>
        <v>372.1</v>
      </c>
      <c r="F38" s="4">
        <f>IFERROR(__xludf.DUMMYFUNCTION("""COMPUTED_VALUE"""),130.0)</f>
        <v>130</v>
      </c>
      <c r="G38" s="4">
        <f>IFERROR(__xludf.DUMMYFUNCTION("""COMPUTED_VALUE"""),25713.0)</f>
        <v>25713</v>
      </c>
    </row>
    <row r="39">
      <c r="A39" s="5">
        <f>IFERROR(__xludf.DUMMYFUNCTION("""COMPUTED_VALUE"""),46077.64583333333)</f>
        <v>46077.64583</v>
      </c>
      <c r="B39" s="4">
        <f>IFERROR(__xludf.DUMMYFUNCTION("""COMPUTED_VALUE"""),276.5)</f>
        <v>276.5</v>
      </c>
      <c r="C39" s="4">
        <f>IFERROR(__xludf.DUMMYFUNCTION("""COMPUTED_VALUE"""),3952.6)</f>
        <v>3952.6</v>
      </c>
      <c r="D39" s="4">
        <f>IFERROR(__xludf.DUMMYFUNCTION("""COMPUTED_VALUE"""),2573.7)</f>
        <v>2573.7</v>
      </c>
      <c r="E39" s="4">
        <f>IFERROR(__xludf.DUMMYFUNCTION("""COMPUTED_VALUE"""),374.45)</f>
        <v>374.45</v>
      </c>
      <c r="F39" s="4">
        <f>IFERROR(__xludf.DUMMYFUNCTION("""COMPUTED_VALUE"""),131.22)</f>
        <v>131.22</v>
      </c>
      <c r="G39" s="4">
        <f>IFERROR(__xludf.DUMMYFUNCTION("""COMPUTED_VALUE"""),25424.65)</f>
        <v>25424.65</v>
      </c>
    </row>
    <row r="40">
      <c r="A40" s="5">
        <f>IFERROR(__xludf.DUMMYFUNCTION("""COMPUTED_VALUE"""),46078.64583333333)</f>
        <v>46078.64583</v>
      </c>
      <c r="B40" s="4">
        <f>IFERROR(__xludf.DUMMYFUNCTION("""COMPUTED_VALUE"""),277.45)</f>
        <v>277.45</v>
      </c>
      <c r="C40" s="4">
        <f>IFERROR(__xludf.DUMMYFUNCTION("""COMPUTED_VALUE"""),3985.0)</f>
        <v>3985</v>
      </c>
      <c r="D40" s="4">
        <f>IFERROR(__xludf.DUMMYFUNCTION("""COMPUTED_VALUE"""),2629.3)</f>
        <v>2629.3</v>
      </c>
      <c r="E40" s="4">
        <f>IFERROR(__xludf.DUMMYFUNCTION("""COMPUTED_VALUE"""),381.05)</f>
        <v>381.05</v>
      </c>
      <c r="F40" s="4">
        <f>IFERROR(__xludf.DUMMYFUNCTION("""COMPUTED_VALUE"""),131.69)</f>
        <v>131.69</v>
      </c>
      <c r="G40" s="4">
        <f>IFERROR(__xludf.DUMMYFUNCTION("""COMPUTED_VALUE"""),25482.5)</f>
        <v>25482.5</v>
      </c>
    </row>
    <row r="41">
      <c r="A41" s="5">
        <f>IFERROR(__xludf.DUMMYFUNCTION("""COMPUTED_VALUE"""),46079.64583333333)</f>
        <v>46079.64583</v>
      </c>
      <c r="B41" s="4">
        <f>IFERROR(__xludf.DUMMYFUNCTION("""COMPUTED_VALUE"""),280.1)</f>
        <v>280.1</v>
      </c>
      <c r="C41" s="4">
        <f>IFERROR(__xludf.DUMMYFUNCTION("""COMPUTED_VALUE"""),4008.9)</f>
        <v>4008.9</v>
      </c>
      <c r="D41" s="4">
        <f>IFERROR(__xludf.DUMMYFUNCTION("""COMPUTED_VALUE"""),2647.7)</f>
        <v>2647.7</v>
      </c>
      <c r="E41" s="4">
        <f>IFERROR(__xludf.DUMMYFUNCTION("""COMPUTED_VALUE"""),386.0)</f>
        <v>386</v>
      </c>
      <c r="F41" s="4">
        <f>IFERROR(__xludf.DUMMYFUNCTION("""COMPUTED_VALUE"""),130.48)</f>
        <v>130.48</v>
      </c>
      <c r="G41" s="4">
        <f>IFERROR(__xludf.DUMMYFUNCTION("""COMPUTED_VALUE"""),25496.55)</f>
        <v>25496.55</v>
      </c>
    </row>
    <row r="42">
      <c r="A42" s="5">
        <f>IFERROR(__xludf.DUMMYFUNCTION("""COMPUTED_VALUE"""),46080.64583333333)</f>
        <v>46080.64583</v>
      </c>
      <c r="B42" s="4">
        <f>IFERROR(__xludf.DUMMYFUNCTION("""COMPUTED_VALUE"""),279.7)</f>
        <v>279.7</v>
      </c>
      <c r="C42" s="4">
        <f>IFERROR(__xludf.DUMMYFUNCTION("""COMPUTED_VALUE"""),3913.2)</f>
        <v>3913.2</v>
      </c>
      <c r="D42" s="4">
        <f>IFERROR(__xludf.DUMMYFUNCTION("""COMPUTED_VALUE"""),2637.4)</f>
        <v>2637.4</v>
      </c>
      <c r="E42" s="4">
        <f>IFERROR(__xludf.DUMMYFUNCTION("""COMPUTED_VALUE"""),385.4)</f>
        <v>385.4</v>
      </c>
      <c r="F42" s="4">
        <f>IFERROR(__xludf.DUMMYFUNCTION("""COMPUTED_VALUE"""),131.6)</f>
        <v>131.6</v>
      </c>
      <c r="G42" s="4">
        <f>IFERROR(__xludf.DUMMYFUNCTION("""COMPUTED_VALUE"""),25178.65)</f>
        <v>25178.65</v>
      </c>
    </row>
    <row r="43">
      <c r="A43" s="5">
        <f>IFERROR(__xludf.DUMMYFUNCTION("""COMPUTED_VALUE"""),46083.64583333333)</f>
        <v>46083.64583</v>
      </c>
      <c r="B43" s="4">
        <f>IFERROR(__xludf.DUMMYFUNCTION("""COMPUTED_VALUE"""),282.2)</f>
        <v>282.2</v>
      </c>
      <c r="C43" s="4">
        <f>IFERROR(__xludf.DUMMYFUNCTION("""COMPUTED_VALUE"""),3951.6)</f>
        <v>3951.6</v>
      </c>
      <c r="D43" s="4">
        <f>IFERROR(__xludf.DUMMYFUNCTION("""COMPUTED_VALUE"""),2613.5)</f>
        <v>2613.5</v>
      </c>
      <c r="E43" s="4">
        <f>IFERROR(__xludf.DUMMYFUNCTION("""COMPUTED_VALUE"""),374.8)</f>
        <v>374.8</v>
      </c>
      <c r="F43" s="4">
        <f>IFERROR(__xludf.DUMMYFUNCTION("""COMPUTED_VALUE"""),138.32)</f>
        <v>138.32</v>
      </c>
      <c r="G43" s="4">
        <f>IFERROR(__xludf.DUMMYFUNCTION("""COMPUTED_VALUE"""),24865.7)</f>
        <v>24865.7</v>
      </c>
    </row>
    <row r="44">
      <c r="A44" s="5">
        <f>IFERROR(__xludf.DUMMYFUNCTION("""COMPUTED_VALUE"""),46085.64583333333)</f>
        <v>46085.64583</v>
      </c>
      <c r="B44" s="4">
        <f>IFERROR(__xludf.DUMMYFUNCTION("""COMPUTED_VALUE"""),276.95)</f>
        <v>276.95</v>
      </c>
      <c r="C44" s="4">
        <f>IFERROR(__xludf.DUMMYFUNCTION("""COMPUTED_VALUE"""),3865.8)</f>
        <v>3865.8</v>
      </c>
      <c r="D44" s="4">
        <f>IFERROR(__xludf.DUMMYFUNCTION("""COMPUTED_VALUE"""),2587.8)</f>
        <v>2587.8</v>
      </c>
      <c r="E44" s="4">
        <f>IFERROR(__xludf.DUMMYFUNCTION("""COMPUTED_VALUE"""),356.4)</f>
        <v>356.4</v>
      </c>
      <c r="F44" s="4">
        <f>IFERROR(__xludf.DUMMYFUNCTION("""COMPUTED_VALUE"""),133.96)</f>
        <v>133.96</v>
      </c>
      <c r="G44" s="4">
        <f>IFERROR(__xludf.DUMMYFUNCTION("""COMPUTED_VALUE"""),24480.5)</f>
        <v>24480.5</v>
      </c>
    </row>
    <row r="45">
      <c r="A45" s="5">
        <f>IFERROR(__xludf.DUMMYFUNCTION("""COMPUTED_VALUE"""),46086.64583333333)</f>
        <v>46086.64583</v>
      </c>
      <c r="B45" s="4">
        <f>IFERROR(__xludf.DUMMYFUNCTION("""COMPUTED_VALUE"""),276.35)</f>
        <v>276.35</v>
      </c>
      <c r="C45" s="4">
        <f>IFERROR(__xludf.DUMMYFUNCTION("""COMPUTED_VALUE"""),3891.8)</f>
        <v>3891.8</v>
      </c>
      <c r="D45" s="4">
        <f>IFERROR(__xludf.DUMMYFUNCTION("""COMPUTED_VALUE"""),2578.8)</f>
        <v>2578.8</v>
      </c>
      <c r="E45" s="4">
        <f>IFERROR(__xludf.DUMMYFUNCTION("""COMPUTED_VALUE"""),360.35)</f>
        <v>360.35</v>
      </c>
      <c r="F45" s="4">
        <f>IFERROR(__xludf.DUMMYFUNCTION("""COMPUTED_VALUE"""),132.24)</f>
        <v>132.24</v>
      </c>
      <c r="G45" s="4">
        <f>IFERROR(__xludf.DUMMYFUNCTION("""COMPUTED_VALUE"""),24765.9)</f>
        <v>24765.9</v>
      </c>
    </row>
    <row r="46">
      <c r="A46" s="5">
        <f>IFERROR(__xludf.DUMMYFUNCTION("""COMPUTED_VALUE"""),46087.64583333333)</f>
        <v>46087.64583</v>
      </c>
      <c r="B46" s="4">
        <f>IFERROR(__xludf.DUMMYFUNCTION("""COMPUTED_VALUE"""),278.95)</f>
        <v>278.95</v>
      </c>
      <c r="C46" s="4">
        <f>IFERROR(__xludf.DUMMYFUNCTION("""COMPUTED_VALUE"""),4023.7)</f>
        <v>4023.7</v>
      </c>
      <c r="D46" s="4">
        <f>IFERROR(__xludf.DUMMYFUNCTION("""COMPUTED_VALUE"""),2557.6)</f>
        <v>2557.6</v>
      </c>
      <c r="E46" s="4">
        <f>IFERROR(__xludf.DUMMYFUNCTION("""COMPUTED_VALUE"""),352.75)</f>
        <v>352.75</v>
      </c>
      <c r="F46" s="4">
        <f>IFERROR(__xludf.DUMMYFUNCTION("""COMPUTED_VALUE"""),130.82)</f>
        <v>130.82</v>
      </c>
      <c r="G46" s="4">
        <f>IFERROR(__xludf.DUMMYFUNCTION("""COMPUTED_VALUE"""),24450.45)</f>
        <v>24450.45</v>
      </c>
    </row>
    <row r="47">
      <c r="A47" s="5">
        <f>IFERROR(__xludf.DUMMYFUNCTION("""COMPUTED_VALUE"""),46090.64583333333)</f>
        <v>46090.64583</v>
      </c>
      <c r="B47" s="4">
        <f>IFERROR(__xludf.DUMMYFUNCTION("""COMPUTED_VALUE"""),270.8)</f>
        <v>270.8</v>
      </c>
      <c r="C47" s="4">
        <f>IFERROR(__xludf.DUMMYFUNCTION("""COMPUTED_VALUE"""),3989.9)</f>
        <v>3989.9</v>
      </c>
      <c r="D47" s="4">
        <f>IFERROR(__xludf.DUMMYFUNCTION("""COMPUTED_VALUE"""),2527.4)</f>
        <v>2527.4</v>
      </c>
      <c r="E47" s="4">
        <f>IFERROR(__xludf.DUMMYFUNCTION("""COMPUTED_VALUE"""),331.15)</f>
        <v>331.15</v>
      </c>
      <c r="F47" s="4">
        <f>IFERROR(__xludf.DUMMYFUNCTION("""COMPUTED_VALUE"""),131.35)</f>
        <v>131.35</v>
      </c>
      <c r="G47" s="4">
        <f>IFERROR(__xludf.DUMMYFUNCTION("""COMPUTED_VALUE"""),24028.05)</f>
        <v>24028.05</v>
      </c>
    </row>
    <row r="48">
      <c r="A48" s="5">
        <f>IFERROR(__xludf.DUMMYFUNCTION("""COMPUTED_VALUE"""),46091.64583333333)</f>
        <v>46091.64583</v>
      </c>
      <c r="B48" s="4">
        <f>IFERROR(__xludf.DUMMYFUNCTION("""COMPUTED_VALUE"""),269.2)</f>
        <v>269.2</v>
      </c>
      <c r="C48" s="4">
        <f>IFERROR(__xludf.DUMMYFUNCTION("""COMPUTED_VALUE"""),4040.1)</f>
        <v>4040.1</v>
      </c>
      <c r="D48" s="4">
        <f>IFERROR(__xludf.DUMMYFUNCTION("""COMPUTED_VALUE"""),2513.1)</f>
        <v>2513.1</v>
      </c>
      <c r="E48" s="4">
        <f>IFERROR(__xludf.DUMMYFUNCTION("""COMPUTED_VALUE"""),325.9)</f>
        <v>325.9</v>
      </c>
      <c r="F48" s="4">
        <f>IFERROR(__xludf.DUMMYFUNCTION("""COMPUTED_VALUE"""),132.2)</f>
        <v>132.2</v>
      </c>
      <c r="G48" s="4">
        <f>IFERROR(__xludf.DUMMYFUNCTION("""COMPUTED_VALUE"""),24261.6)</f>
        <v>24261.6</v>
      </c>
    </row>
    <row r="49">
      <c r="A49" s="5">
        <f>IFERROR(__xludf.DUMMYFUNCTION("""COMPUTED_VALUE"""),46092.64583333333)</f>
        <v>46092.64583</v>
      </c>
      <c r="B49" s="4">
        <f>IFERROR(__xludf.DUMMYFUNCTION("""COMPUTED_VALUE"""),270.75)</f>
        <v>270.75</v>
      </c>
      <c r="C49" s="4">
        <f>IFERROR(__xludf.DUMMYFUNCTION("""COMPUTED_VALUE"""),4005.1)</f>
        <v>4005.1</v>
      </c>
      <c r="D49" s="4">
        <f>IFERROR(__xludf.DUMMYFUNCTION("""COMPUTED_VALUE"""),2464.9)</f>
        <v>2464.9</v>
      </c>
      <c r="E49" s="4">
        <f>IFERROR(__xludf.DUMMYFUNCTION("""COMPUTED_VALUE"""),325.05)</f>
        <v>325.05</v>
      </c>
      <c r="F49" s="4">
        <f>IFERROR(__xludf.DUMMYFUNCTION("""COMPUTED_VALUE"""),132.71)</f>
        <v>132.71</v>
      </c>
      <c r="G49" s="4">
        <f>IFERROR(__xludf.DUMMYFUNCTION("""COMPUTED_VALUE"""),23866.85)</f>
        <v>23866.85</v>
      </c>
    </row>
    <row r="50">
      <c r="A50" s="5">
        <f>IFERROR(__xludf.DUMMYFUNCTION("""COMPUTED_VALUE"""),46093.64583333333)</f>
        <v>46093.64583</v>
      </c>
      <c r="B50" s="4">
        <f>IFERROR(__xludf.DUMMYFUNCTION("""COMPUTED_VALUE"""),270.55)</f>
        <v>270.55</v>
      </c>
      <c r="C50" s="4">
        <f>IFERROR(__xludf.DUMMYFUNCTION("""COMPUTED_VALUE"""),4013.5)</f>
        <v>4013.5</v>
      </c>
      <c r="D50" s="4">
        <f>IFERROR(__xludf.DUMMYFUNCTION("""COMPUTED_VALUE"""),2442.4)</f>
        <v>2442.4</v>
      </c>
      <c r="E50" s="4">
        <f>IFERROR(__xludf.DUMMYFUNCTION("""COMPUTED_VALUE"""),326.35)</f>
        <v>326.35</v>
      </c>
      <c r="F50" s="4">
        <f>IFERROR(__xludf.DUMMYFUNCTION("""COMPUTED_VALUE"""),132.43)</f>
        <v>132.43</v>
      </c>
      <c r="G50" s="4">
        <f>IFERROR(__xludf.DUMMYFUNCTION("""COMPUTED_VALUE"""),23639.15)</f>
        <v>23639.15</v>
      </c>
    </row>
    <row r="51">
      <c r="A51" s="5">
        <f>IFERROR(__xludf.DUMMYFUNCTION("""COMPUTED_VALUE"""),46094.64583333333)</f>
        <v>46094.64583</v>
      </c>
      <c r="B51" s="4">
        <f>IFERROR(__xludf.DUMMYFUNCTION("""COMPUTED_VALUE"""),264.1)</f>
        <v>264.1</v>
      </c>
      <c r="C51" s="4">
        <f>IFERROR(__xludf.DUMMYFUNCTION("""COMPUTED_VALUE"""),3914.4)</f>
        <v>3914.4</v>
      </c>
      <c r="D51" s="4">
        <f>IFERROR(__xludf.DUMMYFUNCTION("""COMPUTED_VALUE"""),2410.5)</f>
        <v>2410.5</v>
      </c>
      <c r="E51" s="4">
        <f>IFERROR(__xludf.DUMMYFUNCTION("""COMPUTED_VALUE"""),319.3)</f>
        <v>319.3</v>
      </c>
      <c r="F51" s="4">
        <f>IFERROR(__xludf.DUMMYFUNCTION("""COMPUTED_VALUE"""),130.32)</f>
        <v>130.32</v>
      </c>
      <c r="G51" s="4">
        <f>IFERROR(__xludf.DUMMYFUNCTION("""COMPUTED_VALUE"""),23151.1)</f>
        <v>23151.1</v>
      </c>
    </row>
    <row r="52">
      <c r="A52" s="5">
        <f>IFERROR(__xludf.DUMMYFUNCTION("""COMPUTED_VALUE"""),46097.64583333333)</f>
        <v>46097.64583</v>
      </c>
      <c r="B52" s="4">
        <f>IFERROR(__xludf.DUMMYFUNCTION("""COMPUTED_VALUE"""),260.45)</f>
        <v>260.45</v>
      </c>
      <c r="C52" s="4">
        <f>IFERROR(__xludf.DUMMYFUNCTION("""COMPUTED_VALUE"""),3913.1)</f>
        <v>3913.1</v>
      </c>
      <c r="D52" s="4">
        <f>IFERROR(__xludf.DUMMYFUNCTION("""COMPUTED_VALUE"""),2409.2)</f>
        <v>2409.2</v>
      </c>
      <c r="E52" s="4">
        <f>IFERROR(__xludf.DUMMYFUNCTION("""COMPUTED_VALUE"""),304.95)</f>
        <v>304.95</v>
      </c>
      <c r="F52" s="4">
        <f>IFERROR(__xludf.DUMMYFUNCTION("""COMPUTED_VALUE"""),127.22)</f>
        <v>127.22</v>
      </c>
      <c r="G52" s="4">
        <f>IFERROR(__xludf.DUMMYFUNCTION("""COMPUTED_VALUE"""),23408.8)</f>
        <v>23408.8</v>
      </c>
    </row>
    <row r="53">
      <c r="A53" s="5">
        <f>IFERROR(__xludf.DUMMYFUNCTION("""COMPUTED_VALUE"""),46098.64583333333)</f>
        <v>46098.64583</v>
      </c>
      <c r="B53" s="4">
        <f>IFERROR(__xludf.DUMMYFUNCTION("""COMPUTED_VALUE"""),264.75)</f>
        <v>264.75</v>
      </c>
      <c r="C53" s="4">
        <f>IFERROR(__xludf.DUMMYFUNCTION("""COMPUTED_VALUE"""),3963.1)</f>
        <v>3963.1</v>
      </c>
      <c r="D53" s="4">
        <f>IFERROR(__xludf.DUMMYFUNCTION("""COMPUTED_VALUE"""),2391.7)</f>
        <v>2391.7</v>
      </c>
      <c r="E53" s="4">
        <f>IFERROR(__xludf.DUMMYFUNCTION("""COMPUTED_VALUE"""),300.05)</f>
        <v>300.05</v>
      </c>
      <c r="F53" s="4">
        <f>IFERROR(__xludf.DUMMYFUNCTION("""COMPUTED_VALUE"""),128.22)</f>
        <v>128.22</v>
      </c>
      <c r="G53" s="4">
        <f>IFERROR(__xludf.DUMMYFUNCTION("""COMPUTED_VALUE"""),23581.15)</f>
        <v>23581.15</v>
      </c>
    </row>
    <row r="54">
      <c r="A54" s="5">
        <f>IFERROR(__xludf.DUMMYFUNCTION("""COMPUTED_VALUE"""),46099.64583333333)</f>
        <v>46099.64583</v>
      </c>
      <c r="B54" s="4">
        <f>IFERROR(__xludf.DUMMYFUNCTION("""COMPUTED_VALUE"""),265.0)</f>
        <v>265</v>
      </c>
      <c r="C54" s="4">
        <f>IFERROR(__xludf.DUMMYFUNCTION("""COMPUTED_VALUE"""),3961.6)</f>
        <v>3961.6</v>
      </c>
      <c r="D54" s="4">
        <f>IFERROR(__xludf.DUMMYFUNCTION("""COMPUTED_VALUE"""),2440.8)</f>
        <v>2440.8</v>
      </c>
      <c r="E54" s="4">
        <f>IFERROR(__xludf.DUMMYFUNCTION("""COMPUTED_VALUE"""),303.7)</f>
        <v>303.7</v>
      </c>
      <c r="F54" s="4">
        <f>IFERROR(__xludf.DUMMYFUNCTION("""COMPUTED_VALUE"""),127.91)</f>
        <v>127.91</v>
      </c>
      <c r="G54" s="4">
        <f>IFERROR(__xludf.DUMMYFUNCTION("""COMPUTED_VALUE"""),23777.8)</f>
        <v>23777.8</v>
      </c>
    </row>
    <row r="55">
      <c r="A55" s="5">
        <f>IFERROR(__xludf.DUMMYFUNCTION("""COMPUTED_VALUE"""),46100.64583333333)</f>
        <v>46100.64583</v>
      </c>
      <c r="B55" s="4">
        <f>IFERROR(__xludf.DUMMYFUNCTION("""COMPUTED_VALUE"""),269.1)</f>
        <v>269.1</v>
      </c>
      <c r="C55" s="4">
        <f>IFERROR(__xludf.DUMMYFUNCTION("""COMPUTED_VALUE"""),3802.5)</f>
        <v>3802.5</v>
      </c>
      <c r="D55" s="4">
        <f>IFERROR(__xludf.DUMMYFUNCTION("""COMPUTED_VALUE"""),2356.0)</f>
        <v>2356</v>
      </c>
      <c r="E55" s="4">
        <f>IFERROR(__xludf.DUMMYFUNCTION("""COMPUTED_VALUE"""),286.0)</f>
        <v>286</v>
      </c>
      <c r="F55" s="4">
        <f>IFERROR(__xludf.DUMMYFUNCTION("""COMPUTED_VALUE"""),121.32)</f>
        <v>121.32</v>
      </c>
      <c r="G55" s="4">
        <f>IFERROR(__xludf.DUMMYFUNCTION("""COMPUTED_VALUE"""),23002.15)</f>
        <v>23002.15</v>
      </c>
    </row>
    <row r="56">
      <c r="A56" s="5">
        <f>IFERROR(__xludf.DUMMYFUNCTION("""COMPUTED_VALUE"""),46101.64583333333)</f>
        <v>46101.64583</v>
      </c>
      <c r="B56" s="4">
        <f>IFERROR(__xludf.DUMMYFUNCTION("""COMPUTED_VALUE"""),265.4)</f>
        <v>265.4</v>
      </c>
      <c r="C56" s="4">
        <f>IFERROR(__xludf.DUMMYFUNCTION("""COMPUTED_VALUE"""),3782.4)</f>
        <v>3782.4</v>
      </c>
      <c r="D56" s="4">
        <f>IFERROR(__xludf.DUMMYFUNCTION("""COMPUTED_VALUE"""),2390.6)</f>
        <v>2390.6</v>
      </c>
      <c r="E56" s="4">
        <f>IFERROR(__xludf.DUMMYFUNCTION("""COMPUTED_VALUE"""),287.8)</f>
        <v>287.8</v>
      </c>
      <c r="F56" s="4">
        <f>IFERROR(__xludf.DUMMYFUNCTION("""COMPUTED_VALUE"""),121.06)</f>
        <v>121.06</v>
      </c>
      <c r="G56" s="4">
        <f>IFERROR(__xludf.DUMMYFUNCTION("""COMPUTED_VALUE"""),23114.5)</f>
        <v>23114.5</v>
      </c>
    </row>
    <row r="57">
      <c r="A57" s="5">
        <f>IFERROR(__xludf.DUMMYFUNCTION("""COMPUTED_VALUE"""),46104.64583333333)</f>
        <v>46104.64583</v>
      </c>
      <c r="B57" s="4">
        <f>IFERROR(__xludf.DUMMYFUNCTION("""COMPUTED_VALUE"""),265.45)</f>
        <v>265.45</v>
      </c>
      <c r="C57" s="4">
        <f>IFERROR(__xludf.DUMMYFUNCTION("""COMPUTED_VALUE"""),3634.6)</f>
        <v>3634.6</v>
      </c>
      <c r="D57" s="4">
        <f>IFERROR(__xludf.DUMMYFUNCTION("""COMPUTED_VALUE"""),2383.8)</f>
        <v>2383.8</v>
      </c>
      <c r="E57" s="4">
        <f>IFERROR(__xludf.DUMMYFUNCTION("""COMPUTED_VALUE"""),271.3)</f>
        <v>271.3</v>
      </c>
      <c r="F57" s="4">
        <f>IFERROR(__xludf.DUMMYFUNCTION("""COMPUTED_VALUE"""),110.72)</f>
        <v>110.72</v>
      </c>
      <c r="G57" s="4">
        <f>IFERROR(__xludf.DUMMYFUNCTION("""COMPUTED_VALUE"""),22512.65)</f>
        <v>22512.65</v>
      </c>
    </row>
    <row r="58">
      <c r="A58" s="5">
        <f>IFERROR(__xludf.DUMMYFUNCTION("""COMPUTED_VALUE"""),46105.64583333333)</f>
        <v>46105.64583</v>
      </c>
      <c r="B58" s="4">
        <f>IFERROR(__xludf.DUMMYFUNCTION("""COMPUTED_VALUE"""),268.05)</f>
        <v>268.05</v>
      </c>
      <c r="C58" s="4">
        <f>IFERROR(__xludf.DUMMYFUNCTION("""COMPUTED_VALUE"""),3654.0)</f>
        <v>3654</v>
      </c>
      <c r="D58" s="4">
        <f>IFERROR(__xludf.DUMMYFUNCTION("""COMPUTED_VALUE"""),2398.8)</f>
        <v>2398.8</v>
      </c>
      <c r="E58" s="4">
        <f>IFERROR(__xludf.DUMMYFUNCTION("""COMPUTED_VALUE"""),282.25)</f>
        <v>282.25</v>
      </c>
      <c r="F58" s="4">
        <f>IFERROR(__xludf.DUMMYFUNCTION("""COMPUTED_VALUE"""),115.49)</f>
        <v>115.49</v>
      </c>
      <c r="G58" s="4">
        <f>IFERROR(__xludf.DUMMYFUNCTION("""COMPUTED_VALUE"""),22912.4)</f>
        <v>22912.4</v>
      </c>
    </row>
    <row r="59">
      <c r="A59" s="5">
        <f>IFERROR(__xludf.DUMMYFUNCTION("""COMPUTED_VALUE"""),46106.64583333333)</f>
        <v>46106.64583</v>
      </c>
      <c r="B59" s="4">
        <f>IFERROR(__xludf.DUMMYFUNCTION("""COMPUTED_VALUE"""),270.2)</f>
        <v>270.2</v>
      </c>
      <c r="C59" s="4">
        <f>IFERROR(__xludf.DUMMYFUNCTION("""COMPUTED_VALUE"""),3669.4)</f>
        <v>3669.4</v>
      </c>
      <c r="D59" s="4">
        <f>IFERROR(__xludf.DUMMYFUNCTION("""COMPUTED_VALUE"""),2377.4)</f>
        <v>2377.4</v>
      </c>
      <c r="E59" s="4">
        <f>IFERROR(__xludf.DUMMYFUNCTION("""COMPUTED_VALUE"""),284.55)</f>
        <v>284.55</v>
      </c>
      <c r="F59" s="4">
        <f>IFERROR(__xludf.DUMMYFUNCTION("""COMPUTED_VALUE"""),119.29)</f>
        <v>119.29</v>
      </c>
      <c r="G59" s="4">
        <f>IFERROR(__xludf.DUMMYFUNCTION("""COMPUTED_VALUE"""),23306.45)</f>
        <v>23306.45</v>
      </c>
    </row>
    <row r="60">
      <c r="A60" s="5">
        <f>IFERROR(__xludf.DUMMYFUNCTION("""COMPUTED_VALUE"""),46108.64583333333)</f>
        <v>46108.64583</v>
      </c>
      <c r="B60" s="4">
        <f>IFERROR(__xludf.DUMMYFUNCTION("""COMPUTED_VALUE"""),281.95)</f>
        <v>281.95</v>
      </c>
      <c r="C60" s="4">
        <f>IFERROR(__xludf.DUMMYFUNCTION("""COMPUTED_VALUE"""),3588.6)</f>
        <v>3588.6</v>
      </c>
      <c r="D60" s="4">
        <f>IFERROR(__xludf.DUMMYFUNCTION("""COMPUTED_VALUE"""),2389.8)</f>
        <v>2389.8</v>
      </c>
      <c r="E60" s="4">
        <f>IFERROR(__xludf.DUMMYFUNCTION("""COMPUTED_VALUE"""),282.7)</f>
        <v>282.7</v>
      </c>
      <c r="F60" s="4">
        <f>IFERROR(__xludf.DUMMYFUNCTION("""COMPUTED_VALUE"""),117.53)</f>
        <v>117.53</v>
      </c>
      <c r="G60" s="4">
        <f>IFERROR(__xludf.DUMMYFUNCTION("""COMPUTED_VALUE"""),22819.6)</f>
        <v>22819.6</v>
      </c>
    </row>
    <row r="61">
      <c r="A61" s="5">
        <f>IFERROR(__xludf.DUMMYFUNCTION("""COMPUTED_VALUE"""),46111.64583333333)</f>
        <v>46111.64583</v>
      </c>
      <c r="B61" s="4">
        <f>IFERROR(__xludf.DUMMYFUNCTION("""COMPUTED_VALUE"""),284.65)</f>
        <v>284.65</v>
      </c>
      <c r="C61" s="4">
        <f>IFERROR(__xludf.DUMMYFUNCTION("""COMPUTED_VALUE"""),3487.2)</f>
        <v>3487.2</v>
      </c>
      <c r="D61" s="4">
        <f>IFERROR(__xludf.DUMMYFUNCTION("""COMPUTED_VALUE"""),2358.9)</f>
        <v>2358.9</v>
      </c>
      <c r="E61" s="4">
        <f>IFERROR(__xludf.DUMMYFUNCTION("""COMPUTED_VALUE"""),281.0)</f>
        <v>281</v>
      </c>
      <c r="F61" s="4">
        <f>IFERROR(__xludf.DUMMYFUNCTION("""COMPUTED_VALUE"""),121.19)</f>
        <v>121.19</v>
      </c>
      <c r="G61" s="4">
        <f>IFERROR(__xludf.DUMMYFUNCTION("""COMPUTED_VALUE"""),22331.4)</f>
        <v>22331.4</v>
      </c>
    </row>
    <row r="62">
      <c r="A62" s="5">
        <f>IFERROR(__xludf.DUMMYFUNCTION("""COMPUTED_VALUE"""),46113.64583333333)</f>
        <v>46113.64583</v>
      </c>
      <c r="B62" s="4">
        <f>IFERROR(__xludf.DUMMYFUNCTION("""COMPUTED_VALUE"""),288.05)</f>
        <v>288.05</v>
      </c>
      <c r="C62" s="4">
        <f>IFERROR(__xludf.DUMMYFUNCTION("""COMPUTED_VALUE"""),3670.8)</f>
        <v>3670.8</v>
      </c>
      <c r="D62" s="4">
        <f>IFERROR(__xludf.DUMMYFUNCTION("""COMPUTED_VALUE"""),2408.2)</f>
        <v>2408.2</v>
      </c>
      <c r="E62" s="4">
        <f>IFERROR(__xludf.DUMMYFUNCTION("""COMPUTED_VALUE"""),281.25)</f>
        <v>281.25</v>
      </c>
      <c r="F62" s="4">
        <f>IFERROR(__xludf.DUMMYFUNCTION("""COMPUTED_VALUE"""),123.37)</f>
        <v>123.37</v>
      </c>
      <c r="G62" s="4">
        <f>IFERROR(__xludf.DUMMYFUNCTION("""COMPUTED_VALUE"""),22679.4)</f>
        <v>22679.4</v>
      </c>
    </row>
    <row r="63">
      <c r="A63" s="5">
        <f>IFERROR(__xludf.DUMMYFUNCTION("""COMPUTED_VALUE"""),46114.64583333333)</f>
        <v>46114.64583</v>
      </c>
      <c r="B63" s="4">
        <f>IFERROR(__xludf.DUMMYFUNCTION("""COMPUTED_VALUE"""),287.2)</f>
        <v>287.2</v>
      </c>
      <c r="C63" s="4">
        <f>IFERROR(__xludf.DUMMYFUNCTION("""COMPUTED_VALUE"""),3687.0)</f>
        <v>3687</v>
      </c>
      <c r="D63" s="4">
        <f>IFERROR(__xludf.DUMMYFUNCTION("""COMPUTED_VALUE"""),2450.7)</f>
        <v>2450.7</v>
      </c>
      <c r="E63" s="4">
        <f>IFERROR(__xludf.DUMMYFUNCTION("""COMPUTED_VALUE"""),278.15)</f>
        <v>278.15</v>
      </c>
      <c r="F63" s="4">
        <f>IFERROR(__xludf.DUMMYFUNCTION("""COMPUTED_VALUE"""),120.58)</f>
        <v>120.58</v>
      </c>
      <c r="G63" s="4">
        <f>IFERROR(__xludf.DUMMYFUNCTION("""COMPUTED_VALUE"""),22713.1)</f>
        <v>22713.1</v>
      </c>
    </row>
    <row r="64">
      <c r="A64" s="5">
        <f>IFERROR(__xludf.DUMMYFUNCTION("""COMPUTED_VALUE"""),46118.64583333333)</f>
        <v>46118.64583</v>
      </c>
      <c r="B64" s="4">
        <f>IFERROR(__xludf.DUMMYFUNCTION("""COMPUTED_VALUE"""),281.85)</f>
        <v>281.85</v>
      </c>
      <c r="C64" s="4">
        <f>IFERROR(__xludf.DUMMYFUNCTION("""COMPUTED_VALUE"""),3752.1)</f>
        <v>3752.1</v>
      </c>
      <c r="D64" s="4">
        <f>IFERROR(__xludf.DUMMYFUNCTION("""COMPUTED_VALUE"""),2473.9)</f>
        <v>2473.9</v>
      </c>
      <c r="E64" s="4">
        <f>IFERROR(__xludf.DUMMYFUNCTION("""COMPUTED_VALUE"""),278.7)</f>
        <v>278.7</v>
      </c>
      <c r="F64" s="4">
        <f>IFERROR(__xludf.DUMMYFUNCTION("""COMPUTED_VALUE"""),122.81)</f>
        <v>122.81</v>
      </c>
      <c r="G64" s="4">
        <f>IFERROR(__xludf.DUMMYFUNCTION("""COMPUTED_VALUE"""),22968.25)</f>
        <v>22968.25</v>
      </c>
    </row>
    <row r="65">
      <c r="A65" s="5">
        <f>IFERROR(__xludf.DUMMYFUNCTION("""COMPUTED_VALUE"""),46119.64583333333)</f>
        <v>46119.64583</v>
      </c>
      <c r="B65" s="4">
        <f>IFERROR(__xludf.DUMMYFUNCTION("""COMPUTED_VALUE"""),286.65)</f>
        <v>286.65</v>
      </c>
      <c r="C65" s="4">
        <f>IFERROR(__xludf.DUMMYFUNCTION("""COMPUTED_VALUE"""),3796.2)</f>
        <v>3796.2</v>
      </c>
      <c r="D65" s="4">
        <f>IFERROR(__xludf.DUMMYFUNCTION("""COMPUTED_VALUE"""),2539.8)</f>
        <v>2539.8</v>
      </c>
      <c r="E65" s="4">
        <f>IFERROR(__xludf.DUMMYFUNCTION("""COMPUTED_VALUE"""),277.45)</f>
        <v>277.45</v>
      </c>
      <c r="F65" s="4">
        <f>IFERROR(__xludf.DUMMYFUNCTION("""COMPUTED_VALUE"""),121.78)</f>
        <v>121.78</v>
      </c>
      <c r="G65" s="4">
        <f>IFERROR(__xludf.DUMMYFUNCTION("""COMPUTED_VALUE"""),23123.65)</f>
        <v>23123.65</v>
      </c>
    </row>
    <row r="66">
      <c r="A66" s="5">
        <f>IFERROR(__xludf.DUMMYFUNCTION("""COMPUTED_VALUE"""),46120.64583333333)</f>
        <v>46120.64583</v>
      </c>
      <c r="B66" s="4">
        <f>IFERROR(__xludf.DUMMYFUNCTION("""COMPUTED_VALUE"""),285.5)</f>
        <v>285.5</v>
      </c>
      <c r="C66" s="4">
        <f>IFERROR(__xludf.DUMMYFUNCTION("""COMPUTED_VALUE"""),3907.5)</f>
        <v>3907.5</v>
      </c>
      <c r="D66" s="4">
        <f>IFERROR(__xludf.DUMMYFUNCTION("""COMPUTED_VALUE"""),2559.2)</f>
        <v>2559.2</v>
      </c>
      <c r="E66" s="4">
        <f>IFERROR(__xludf.DUMMYFUNCTION("""COMPUTED_VALUE"""),298.1)</f>
        <v>298.1</v>
      </c>
      <c r="F66" s="4">
        <f>IFERROR(__xludf.DUMMYFUNCTION("""COMPUTED_VALUE"""),124.39)</f>
        <v>124.39</v>
      </c>
      <c r="G66" s="4">
        <f>IFERROR(__xludf.DUMMYFUNCTION("""COMPUTED_VALUE"""),23997.35)</f>
        <v>23997.35</v>
      </c>
    </row>
    <row r="67">
      <c r="A67" s="5">
        <f>IFERROR(__xludf.DUMMYFUNCTION("""COMPUTED_VALUE"""),46121.64583333333)</f>
        <v>46121.64583</v>
      </c>
      <c r="B67" s="4">
        <f>IFERROR(__xludf.DUMMYFUNCTION("""COMPUTED_VALUE"""),288.6)</f>
        <v>288.6</v>
      </c>
      <c r="C67" s="4">
        <f>IFERROR(__xludf.DUMMYFUNCTION("""COMPUTED_VALUE"""),4032.9)</f>
        <v>4032.9</v>
      </c>
      <c r="D67" s="4">
        <f>IFERROR(__xludf.DUMMYFUNCTION("""COMPUTED_VALUE"""),2589.0)</f>
        <v>2589</v>
      </c>
      <c r="E67" s="4">
        <f>IFERROR(__xludf.DUMMYFUNCTION("""COMPUTED_VALUE"""),297.35)</f>
        <v>297.35</v>
      </c>
      <c r="F67" s="4">
        <f>IFERROR(__xludf.DUMMYFUNCTION("""COMPUTED_VALUE"""),123.21)</f>
        <v>123.21</v>
      </c>
      <c r="G67" s="4">
        <f>IFERROR(__xludf.DUMMYFUNCTION("""COMPUTED_VALUE"""),23775.1)</f>
        <v>23775.1</v>
      </c>
    </row>
    <row r="68">
      <c r="A68" s="5">
        <f>IFERROR(__xludf.DUMMYFUNCTION("""COMPUTED_VALUE"""),46122.64583333333)</f>
        <v>46122.64583</v>
      </c>
      <c r="B68" s="4">
        <f>IFERROR(__xludf.DUMMYFUNCTION("""COMPUTED_VALUE"""),286.5)</f>
        <v>286.5</v>
      </c>
      <c r="C68" s="4">
        <f>IFERROR(__xludf.DUMMYFUNCTION("""COMPUTED_VALUE"""),4112.2)</f>
        <v>4112.2</v>
      </c>
      <c r="D68" s="4">
        <f>IFERROR(__xludf.DUMMYFUNCTION("""COMPUTED_VALUE"""),2524.3)</f>
        <v>2524.3</v>
      </c>
      <c r="E68" s="4">
        <f>IFERROR(__xludf.DUMMYFUNCTION("""COMPUTED_VALUE"""),299.35)</f>
        <v>299.35</v>
      </c>
      <c r="F68" s="4">
        <f>IFERROR(__xludf.DUMMYFUNCTION("""COMPUTED_VALUE"""),123.49)</f>
        <v>123.49</v>
      </c>
      <c r="G68" s="4">
        <f>IFERROR(__xludf.DUMMYFUNCTION("""COMPUTED_VALUE"""),24050.6)</f>
        <v>24050.6</v>
      </c>
    </row>
    <row r="69">
      <c r="A69" s="5">
        <f>IFERROR(__xludf.DUMMYFUNCTION("""COMPUTED_VALUE"""),46125.64583333333)</f>
        <v>46125.64583</v>
      </c>
      <c r="B69" s="4">
        <f>IFERROR(__xludf.DUMMYFUNCTION("""COMPUTED_VALUE"""),287.55)</f>
        <v>287.55</v>
      </c>
      <c r="C69" s="4">
        <f>IFERROR(__xludf.DUMMYFUNCTION("""COMPUTED_VALUE"""),4099.9)</f>
        <v>4099.9</v>
      </c>
      <c r="D69" s="4">
        <f>IFERROR(__xludf.DUMMYFUNCTION("""COMPUTED_VALUE"""),2472.6)</f>
        <v>2472.6</v>
      </c>
      <c r="E69" s="4">
        <f>IFERROR(__xludf.DUMMYFUNCTION("""COMPUTED_VALUE"""),292.95)</f>
        <v>292.95</v>
      </c>
      <c r="F69" s="4">
        <f>IFERROR(__xludf.DUMMYFUNCTION("""COMPUTED_VALUE"""),123.76)</f>
        <v>123.76</v>
      </c>
      <c r="G69" s="4">
        <f>IFERROR(__xludf.DUMMYFUNCTION("""COMPUTED_VALUE"""),23842.65)</f>
        <v>23842.65</v>
      </c>
    </row>
    <row r="70">
      <c r="A70" s="5">
        <f>IFERROR(__xludf.DUMMYFUNCTION("""COMPUTED_VALUE"""),46127.64583333333)</f>
        <v>46127.64583</v>
      </c>
      <c r="B70" s="4">
        <f>IFERROR(__xludf.DUMMYFUNCTION("""COMPUTED_VALUE"""),287.6)</f>
        <v>287.6</v>
      </c>
      <c r="C70" s="4">
        <f>IFERROR(__xludf.DUMMYFUNCTION("""COMPUTED_VALUE"""),4239.2)</f>
        <v>4239.2</v>
      </c>
      <c r="D70" s="4">
        <f>IFERROR(__xludf.DUMMYFUNCTION("""COMPUTED_VALUE"""),2554.9)</f>
        <v>2554.9</v>
      </c>
      <c r="E70" s="4">
        <f>IFERROR(__xludf.DUMMYFUNCTION("""COMPUTED_VALUE"""),310.45)</f>
        <v>310.45</v>
      </c>
      <c r="F70" s="4">
        <f>IFERROR(__xludf.DUMMYFUNCTION("""COMPUTED_VALUE"""),125.06)</f>
        <v>125.06</v>
      </c>
      <c r="G70" s="4">
        <f>IFERROR(__xludf.DUMMYFUNCTION("""COMPUTED_VALUE"""),24231.3)</f>
        <v>24231.3</v>
      </c>
    </row>
    <row r="71">
      <c r="A71" s="5">
        <f>IFERROR(__xludf.DUMMYFUNCTION("""COMPUTED_VALUE"""),46128.64583333333)</f>
        <v>46128.64583</v>
      </c>
      <c r="B71" s="4">
        <f>IFERROR(__xludf.DUMMYFUNCTION("""COMPUTED_VALUE"""),282.75)</f>
        <v>282.75</v>
      </c>
      <c r="C71" s="4">
        <f>IFERROR(__xludf.DUMMYFUNCTION("""COMPUTED_VALUE"""),4363.4)</f>
        <v>4363.4</v>
      </c>
      <c r="D71" s="4">
        <f>IFERROR(__xludf.DUMMYFUNCTION("""COMPUTED_VALUE"""),2576.9)</f>
        <v>2576.9</v>
      </c>
      <c r="E71" s="4">
        <f>IFERROR(__xludf.DUMMYFUNCTION("""COMPUTED_VALUE"""),307.95)</f>
        <v>307.95</v>
      </c>
      <c r="F71" s="4">
        <f>IFERROR(__xludf.DUMMYFUNCTION("""COMPUTED_VALUE"""),125.61)</f>
        <v>125.61</v>
      </c>
      <c r="G71" s="4">
        <f>IFERROR(__xludf.DUMMYFUNCTION("""COMPUTED_VALUE"""),24196.75)</f>
        <v>24196.75</v>
      </c>
    </row>
    <row r="72">
      <c r="A72" s="5">
        <f>IFERROR(__xludf.DUMMYFUNCTION("""COMPUTED_VALUE"""),46129.64583333333)</f>
        <v>46129.64583</v>
      </c>
      <c r="B72" s="4">
        <f>IFERROR(__xludf.DUMMYFUNCTION("""COMPUTED_VALUE"""),284.05)</f>
        <v>284.05</v>
      </c>
      <c r="C72" s="4">
        <f>IFERROR(__xludf.DUMMYFUNCTION("""COMPUTED_VALUE"""),4388.1)</f>
        <v>4388.1</v>
      </c>
      <c r="D72" s="4">
        <f>IFERROR(__xludf.DUMMYFUNCTION("""COMPUTED_VALUE"""),2581.5)</f>
        <v>2581.5</v>
      </c>
      <c r="E72" s="4">
        <f>IFERROR(__xludf.DUMMYFUNCTION("""COMPUTED_VALUE"""),312.1)</f>
        <v>312.1</v>
      </c>
      <c r="F72" s="4">
        <f>IFERROR(__xludf.DUMMYFUNCTION("""COMPUTED_VALUE"""),124.8)</f>
        <v>124.8</v>
      </c>
      <c r="G72" s="4">
        <f>IFERROR(__xludf.DUMMYFUNCTION("""COMPUTED_VALUE"""),24353.55)</f>
        <v>24353.55</v>
      </c>
    </row>
    <row r="73">
      <c r="A73" s="5">
        <f>IFERROR(__xludf.DUMMYFUNCTION("""COMPUTED_VALUE"""),46132.64583333333)</f>
        <v>46132.64583</v>
      </c>
      <c r="B73" s="4">
        <f>IFERROR(__xludf.DUMMYFUNCTION("""COMPUTED_VALUE"""),283.35)</f>
        <v>283.35</v>
      </c>
      <c r="C73" s="4">
        <f>IFERROR(__xludf.DUMMYFUNCTION("""COMPUTED_VALUE"""),4344.5)</f>
        <v>4344.5</v>
      </c>
      <c r="D73" s="4">
        <f>IFERROR(__xludf.DUMMYFUNCTION("""COMPUTED_VALUE"""),2579.6)</f>
        <v>2579.6</v>
      </c>
      <c r="E73" s="4">
        <f>IFERROR(__xludf.DUMMYFUNCTION("""COMPUTED_VALUE"""),316.05)</f>
        <v>316.05</v>
      </c>
      <c r="F73" s="4">
        <f>IFERROR(__xludf.DUMMYFUNCTION("""COMPUTED_VALUE"""),125.0)</f>
        <v>125</v>
      </c>
      <c r="G73" s="4">
        <f>IFERROR(__xludf.DUMMYFUNCTION("""COMPUTED_VALUE"""),24364.85)</f>
        <v>24364.85</v>
      </c>
    </row>
    <row r="74">
      <c r="A74" s="5">
        <f>IFERROR(__xludf.DUMMYFUNCTION("""COMPUTED_VALUE"""),46133.64583333333)</f>
        <v>46133.64583</v>
      </c>
      <c r="B74" s="4">
        <f>IFERROR(__xludf.DUMMYFUNCTION("""COMPUTED_VALUE"""),283.1)</f>
        <v>283.1</v>
      </c>
      <c r="C74" s="4">
        <f>IFERROR(__xludf.DUMMYFUNCTION("""COMPUTED_VALUE"""),4358.4)</f>
        <v>4358.4</v>
      </c>
      <c r="D74" s="4">
        <f>IFERROR(__xludf.DUMMYFUNCTION("""COMPUTED_VALUE"""),2610.5)</f>
        <v>2610.5</v>
      </c>
      <c r="E74" s="4">
        <f>IFERROR(__xludf.DUMMYFUNCTION("""COMPUTED_VALUE"""),318.05)</f>
        <v>318.05</v>
      </c>
      <c r="F74" s="4">
        <f>IFERROR(__xludf.DUMMYFUNCTION("""COMPUTED_VALUE"""),125.22)</f>
        <v>125.22</v>
      </c>
      <c r="G74" s="4">
        <f>IFERROR(__xludf.DUMMYFUNCTION("""COMPUTED_VALUE"""),24576.6)</f>
        <v>24576.6</v>
      </c>
    </row>
    <row r="75">
      <c r="A75" s="5">
        <f>IFERROR(__xludf.DUMMYFUNCTION("""COMPUTED_VALUE"""),46134.64583333333)</f>
        <v>46134.64583</v>
      </c>
      <c r="B75" s="4">
        <f>IFERROR(__xludf.DUMMYFUNCTION("""COMPUTED_VALUE"""),283.65)</f>
        <v>283.65</v>
      </c>
      <c r="C75" s="4">
        <f>IFERROR(__xludf.DUMMYFUNCTION("""COMPUTED_VALUE"""),4400.6)</f>
        <v>4400.6</v>
      </c>
      <c r="D75" s="4">
        <f>IFERROR(__xludf.DUMMYFUNCTION("""COMPUTED_VALUE"""),2538.5)</f>
        <v>2538.5</v>
      </c>
      <c r="E75" s="4">
        <f>IFERROR(__xludf.DUMMYFUNCTION("""COMPUTED_VALUE"""),314.4)</f>
        <v>314.4</v>
      </c>
      <c r="F75" s="4">
        <f>IFERROR(__xludf.DUMMYFUNCTION("""COMPUTED_VALUE"""),124.99)</f>
        <v>124.99</v>
      </c>
      <c r="G75" s="4">
        <f>IFERROR(__xludf.DUMMYFUNCTION("""COMPUTED_VALUE"""),24378.1)</f>
        <v>24378.1</v>
      </c>
    </row>
    <row r="76">
      <c r="A76" s="5">
        <f>IFERROR(__xludf.DUMMYFUNCTION("""COMPUTED_VALUE"""),46135.64583333333)</f>
        <v>46135.64583</v>
      </c>
      <c r="B76" s="4">
        <f>IFERROR(__xludf.DUMMYFUNCTION("""COMPUTED_VALUE"""),286.25)</f>
        <v>286.25</v>
      </c>
      <c r="C76" s="4">
        <f>IFERROR(__xludf.DUMMYFUNCTION("""COMPUTED_VALUE"""),4352.5)</f>
        <v>4352.5</v>
      </c>
      <c r="D76" s="4">
        <f>IFERROR(__xludf.DUMMYFUNCTION("""COMPUTED_VALUE"""),2521.8)</f>
        <v>2521.8</v>
      </c>
      <c r="E76" s="4">
        <f>IFERROR(__xludf.DUMMYFUNCTION("""COMPUTED_VALUE"""),309.8)</f>
        <v>309.8</v>
      </c>
      <c r="F76" s="4">
        <f>IFERROR(__xludf.DUMMYFUNCTION("""COMPUTED_VALUE"""),124.08)</f>
        <v>124.08</v>
      </c>
      <c r="G76" s="4">
        <f>IFERROR(__xludf.DUMMYFUNCTION("""COMPUTED_VALUE"""),24173.05)</f>
        <v>24173.05</v>
      </c>
    </row>
    <row r="77">
      <c r="A77" s="5">
        <f>IFERROR(__xludf.DUMMYFUNCTION("""COMPUTED_VALUE"""),46136.64583333333)</f>
        <v>46136.64583</v>
      </c>
      <c r="B77" s="4">
        <f>IFERROR(__xludf.DUMMYFUNCTION("""COMPUTED_VALUE"""),284.8)</f>
        <v>284.8</v>
      </c>
      <c r="C77" s="4">
        <f>IFERROR(__xludf.DUMMYFUNCTION("""COMPUTED_VALUE"""),4265.8)</f>
        <v>4265.8</v>
      </c>
      <c r="D77" s="4">
        <f>IFERROR(__xludf.DUMMYFUNCTION("""COMPUTED_VALUE"""),2396.9)</f>
        <v>2396.9</v>
      </c>
      <c r="E77" s="4">
        <f>IFERROR(__xludf.DUMMYFUNCTION("""COMPUTED_VALUE"""),308.1)</f>
        <v>308.1</v>
      </c>
      <c r="F77" s="4">
        <f>IFERROR(__xludf.DUMMYFUNCTION("""COMPUTED_VALUE"""),123.94)</f>
        <v>123.94</v>
      </c>
      <c r="G77" s="4">
        <f>IFERROR(__xludf.DUMMYFUNCTION("""COMPUTED_VALUE"""),23897.95)</f>
        <v>23897.95</v>
      </c>
    </row>
    <row r="78">
      <c r="A78" s="5">
        <f>IFERROR(__xludf.DUMMYFUNCTION("""COMPUTED_VALUE"""),46139.64583333333)</f>
        <v>46139.64583</v>
      </c>
      <c r="B78" s="4">
        <f>IFERROR(__xludf.DUMMYFUNCTION("""COMPUTED_VALUE"""),285.9)</f>
        <v>285.9</v>
      </c>
      <c r="C78" s="4">
        <f>IFERROR(__xludf.DUMMYFUNCTION("""COMPUTED_VALUE"""),4310.3)</f>
        <v>4310.3</v>
      </c>
      <c r="D78" s="4">
        <f>IFERROR(__xludf.DUMMYFUNCTION("""COMPUTED_VALUE"""),2447.6)</f>
        <v>2447.6</v>
      </c>
      <c r="E78" s="4">
        <f>IFERROR(__xludf.DUMMYFUNCTION("""COMPUTED_VALUE"""),312.65)</f>
        <v>312.65</v>
      </c>
      <c r="F78" s="4">
        <f>IFERROR(__xludf.DUMMYFUNCTION("""COMPUTED_VALUE"""),124.25)</f>
        <v>124.25</v>
      </c>
      <c r="G78" s="4">
        <f>IFERROR(__xludf.DUMMYFUNCTION("""COMPUTED_VALUE"""),24092.7)</f>
        <v>24092.7</v>
      </c>
    </row>
    <row r="79">
      <c r="A79" s="5">
        <f>IFERROR(__xludf.DUMMYFUNCTION("""COMPUTED_VALUE"""),46140.64583333333)</f>
        <v>46140.64583</v>
      </c>
      <c r="B79" s="4">
        <f>IFERROR(__xludf.DUMMYFUNCTION("""COMPUTED_VALUE"""),301.3)</f>
        <v>301.3</v>
      </c>
      <c r="C79" s="4">
        <f>IFERROR(__xludf.DUMMYFUNCTION("""COMPUTED_VALUE"""),4341.4)</f>
        <v>4341.4</v>
      </c>
      <c r="D79" s="4">
        <f>IFERROR(__xludf.DUMMYFUNCTION("""COMPUTED_VALUE"""),2444.7)</f>
        <v>2444.7</v>
      </c>
      <c r="E79" s="4">
        <f>IFERROR(__xludf.DUMMYFUNCTION("""COMPUTED_VALUE"""),307.75)</f>
        <v>307.75</v>
      </c>
      <c r="F79" s="4">
        <f>IFERROR(__xludf.DUMMYFUNCTION("""COMPUTED_VALUE"""),122.68)</f>
        <v>122.68</v>
      </c>
      <c r="G79" s="4">
        <f>IFERROR(__xludf.DUMMYFUNCTION("""COMPUTED_VALUE"""),23995.7)</f>
        <v>23995.7</v>
      </c>
    </row>
    <row r="80">
      <c r="A80" s="5">
        <f>IFERROR(__xludf.DUMMYFUNCTION("""COMPUTED_VALUE"""),46141.64583333333)</f>
        <v>46141.64583</v>
      </c>
      <c r="B80" s="4">
        <f>IFERROR(__xludf.DUMMYFUNCTION("""COMPUTED_VALUE"""),301.4)</f>
        <v>301.4</v>
      </c>
      <c r="C80" s="4">
        <f>IFERROR(__xludf.DUMMYFUNCTION("""COMPUTED_VALUE"""),4351.6)</f>
        <v>4351.6</v>
      </c>
      <c r="D80" s="4">
        <f>IFERROR(__xludf.DUMMYFUNCTION("""COMPUTED_VALUE"""),2474.7)</f>
        <v>2474.7</v>
      </c>
      <c r="E80" s="4">
        <f>IFERROR(__xludf.DUMMYFUNCTION("""COMPUTED_VALUE"""),303.9)</f>
        <v>303.9</v>
      </c>
      <c r="F80" s="4">
        <f>IFERROR(__xludf.DUMMYFUNCTION("""COMPUTED_VALUE"""),121.58)</f>
        <v>121.58</v>
      </c>
      <c r="G80" s="4">
        <f>IFERROR(__xludf.DUMMYFUNCTION("""COMPUTED_VALUE"""),24177.65)</f>
        <v>24177.65</v>
      </c>
    </row>
    <row r="81">
      <c r="A81" s="5">
        <f>IFERROR(__xludf.DUMMYFUNCTION("""COMPUTED_VALUE"""),46142.64583333333)</f>
        <v>46142.64583</v>
      </c>
      <c r="B81" s="4">
        <f>IFERROR(__xludf.DUMMYFUNCTION("""COMPUTED_VALUE"""),299.55)</f>
        <v>299.55</v>
      </c>
      <c r="C81" s="4">
        <f>IFERROR(__xludf.DUMMYFUNCTION("""COMPUTED_VALUE"""),4338.8)</f>
        <v>4338.8</v>
      </c>
      <c r="D81" s="4">
        <f>IFERROR(__xludf.DUMMYFUNCTION("""COMPUTED_VALUE"""),2473.9)</f>
        <v>2473.9</v>
      </c>
      <c r="E81" s="4">
        <f>IFERROR(__xludf.DUMMYFUNCTION("""COMPUTED_VALUE"""),300.45)</f>
        <v>300.45</v>
      </c>
      <c r="F81" s="4">
        <f>IFERROR(__xludf.DUMMYFUNCTION("""COMPUTED_VALUE"""),123.43)</f>
        <v>123.43</v>
      </c>
      <c r="G81" s="4">
        <f>IFERROR(__xludf.DUMMYFUNCTION("""COMPUTED_VALUE"""),23997.55)</f>
        <v>23997.55</v>
      </c>
    </row>
    <row r="82">
      <c r="A82" s="5">
        <f>IFERROR(__xludf.DUMMYFUNCTION("""COMPUTED_VALUE"""),46146.64583333333)</f>
        <v>46146.64583</v>
      </c>
      <c r="B82" s="4">
        <f>IFERROR(__xludf.DUMMYFUNCTION("""COMPUTED_VALUE"""),292.9)</f>
        <v>292.9</v>
      </c>
      <c r="C82" s="4">
        <f>IFERROR(__xludf.DUMMYFUNCTION("""COMPUTED_VALUE"""),4559.5)</f>
        <v>4559.5</v>
      </c>
      <c r="D82" s="4">
        <f>IFERROR(__xludf.DUMMYFUNCTION("""COMPUTED_VALUE"""),2431.3)</f>
        <v>2431.3</v>
      </c>
      <c r="E82" s="4">
        <f>IFERROR(__xludf.DUMMYFUNCTION("""COMPUTED_VALUE"""),301.7)</f>
        <v>301.7</v>
      </c>
      <c r="F82" s="4">
        <f>IFERROR(__xludf.DUMMYFUNCTION("""COMPUTED_VALUE"""),122.38)</f>
        <v>122.38</v>
      </c>
      <c r="G82" s="4">
        <f>IFERROR(__xludf.DUMMYFUNCTION("""COMPUTED_VALUE"""),24119.3)</f>
        <v>24119.3</v>
      </c>
    </row>
    <row r="83">
      <c r="A83" s="5">
        <f>IFERROR(__xludf.DUMMYFUNCTION("""COMPUTED_VALUE"""),46147.64583333333)</f>
        <v>46147.64583</v>
      </c>
      <c r="B83" s="4">
        <f>IFERROR(__xludf.DUMMYFUNCTION("""COMPUTED_VALUE"""),289.95)</f>
        <v>289.95</v>
      </c>
      <c r="C83" s="4">
        <f>IFERROR(__xludf.DUMMYFUNCTION("""COMPUTED_VALUE"""),4610.4)</f>
        <v>4610.4</v>
      </c>
      <c r="D83" s="4">
        <f>IFERROR(__xludf.DUMMYFUNCTION("""COMPUTED_VALUE"""),2427.3)</f>
        <v>2427.3</v>
      </c>
      <c r="E83" s="4">
        <f>IFERROR(__xludf.DUMMYFUNCTION("""COMPUTED_VALUE"""),298.5)</f>
        <v>298.5</v>
      </c>
      <c r="F83" s="4">
        <f>IFERROR(__xludf.DUMMYFUNCTION("""COMPUTED_VALUE"""),122.16)</f>
        <v>122.16</v>
      </c>
      <c r="G83" s="4">
        <f>IFERROR(__xludf.DUMMYFUNCTION("""COMPUTED_VALUE"""),24032.8)</f>
        <v>24032.8</v>
      </c>
    </row>
    <row r="84">
      <c r="A84" s="5">
        <f>IFERROR(__xludf.DUMMYFUNCTION("""COMPUTED_VALUE"""),46148.64583333333)</f>
        <v>46148.64583</v>
      </c>
      <c r="B84" s="4">
        <f>IFERROR(__xludf.DUMMYFUNCTION("""COMPUTED_VALUE"""),280.8)</f>
        <v>280.8</v>
      </c>
      <c r="C84" s="4">
        <f>IFERROR(__xludf.DUMMYFUNCTION("""COMPUTED_VALUE"""),4626.9)</f>
        <v>4626.9</v>
      </c>
      <c r="D84" s="4">
        <f>IFERROR(__xludf.DUMMYFUNCTION("""COMPUTED_VALUE"""),2435.4)</f>
        <v>2435.4</v>
      </c>
      <c r="E84" s="4">
        <f>IFERROR(__xludf.DUMMYFUNCTION("""COMPUTED_VALUE"""),314.05)</f>
        <v>314.05</v>
      </c>
      <c r="F84" s="4">
        <f>IFERROR(__xludf.DUMMYFUNCTION("""COMPUTED_VALUE"""),124.02)</f>
        <v>124.02</v>
      </c>
      <c r="G84" s="4">
        <f>IFERROR(__xludf.DUMMYFUNCTION("""COMPUTED_VALUE"""),24330.95)</f>
        <v>24330.95</v>
      </c>
    </row>
    <row r="85">
      <c r="A85" s="5">
        <f>IFERROR(__xludf.DUMMYFUNCTION("""COMPUTED_VALUE"""),46149.64583333333)</f>
        <v>46149.64583</v>
      </c>
      <c r="B85" s="4">
        <f>IFERROR(__xludf.DUMMYFUNCTION("""COMPUTED_VALUE"""),283.9)</f>
        <v>283.9</v>
      </c>
      <c r="C85" s="4">
        <f>IFERROR(__xludf.DUMMYFUNCTION("""COMPUTED_VALUE"""),4782.1)</f>
        <v>4782.1</v>
      </c>
      <c r="D85" s="4">
        <f>IFERROR(__xludf.DUMMYFUNCTION("""COMPUTED_VALUE"""),2401.4)</f>
        <v>2401.4</v>
      </c>
      <c r="E85" s="4">
        <f>IFERROR(__xludf.DUMMYFUNCTION("""COMPUTED_VALUE"""),307.6)</f>
        <v>307.6</v>
      </c>
      <c r="F85" s="4">
        <f>IFERROR(__xludf.DUMMYFUNCTION("""COMPUTED_VALUE"""),124.47)</f>
        <v>124.47</v>
      </c>
      <c r="G85" s="4">
        <f>IFERROR(__xludf.DUMMYFUNCTION("""COMPUTED_VALUE"""),24326.65)</f>
        <v>24326.65</v>
      </c>
    </row>
    <row r="86">
      <c r="A86" s="5">
        <f>IFERROR(__xludf.DUMMYFUNCTION("""COMPUTED_VALUE"""),46150.64583333333)</f>
        <v>46150.64583</v>
      </c>
      <c r="B86" s="4">
        <f>IFERROR(__xludf.DUMMYFUNCTION("""COMPUTED_VALUE"""),279.2)</f>
        <v>279.2</v>
      </c>
      <c r="C86" s="4">
        <f>IFERROR(__xludf.DUMMYFUNCTION("""COMPUTED_VALUE"""),4788.1)</f>
        <v>4788.1</v>
      </c>
      <c r="D86" s="4">
        <f>IFERROR(__xludf.DUMMYFUNCTION("""COMPUTED_VALUE"""),2394.4)</f>
        <v>2394.4</v>
      </c>
      <c r="E86" s="4">
        <f>IFERROR(__xludf.DUMMYFUNCTION("""COMPUTED_VALUE"""),302.75)</f>
        <v>302.75</v>
      </c>
      <c r="F86" s="4">
        <f>IFERROR(__xludf.DUMMYFUNCTION("""COMPUTED_VALUE"""),124.31)</f>
        <v>124.31</v>
      </c>
      <c r="G86" s="4">
        <f>IFERROR(__xludf.DUMMYFUNCTION("""COMPUTED_VALUE"""),24176.15)</f>
        <v>24176.15</v>
      </c>
    </row>
    <row r="87">
      <c r="A87" s="5">
        <f>IFERROR(__xludf.DUMMYFUNCTION("""COMPUTED_VALUE"""),46153.64583333333)</f>
        <v>46153.64583</v>
      </c>
      <c r="B87" s="4">
        <f>IFERROR(__xludf.DUMMYFUNCTION("""COMPUTED_VALUE"""),281.0)</f>
        <v>281</v>
      </c>
      <c r="C87" s="4">
        <f>IFERROR(__xludf.DUMMYFUNCTION("""COMPUTED_VALUE"""),4756.3)</f>
        <v>4756.3</v>
      </c>
      <c r="D87" s="4">
        <f>IFERROR(__xludf.DUMMYFUNCTION("""COMPUTED_VALUE"""),2392.9)</f>
        <v>2392.9</v>
      </c>
      <c r="E87" s="4">
        <f>IFERROR(__xludf.DUMMYFUNCTION("""COMPUTED_VALUE"""),294.45)</f>
        <v>294.45</v>
      </c>
      <c r="F87" s="4">
        <f>IFERROR(__xludf.DUMMYFUNCTION("""COMPUTED_VALUE"""),123.23)</f>
        <v>123.23</v>
      </c>
      <c r="G87" s="4">
        <f>IFERROR(__xludf.DUMMYFUNCTION("""COMPUTED_VALUE"""),23815.85)</f>
        <v>23815.85</v>
      </c>
    </row>
    <row r="88">
      <c r="A88" s="5">
        <f>IFERROR(__xludf.DUMMYFUNCTION("""COMPUTED_VALUE"""),46154.64583333333)</f>
        <v>46154.64583</v>
      </c>
      <c r="B88" s="4">
        <f>IFERROR(__xludf.DUMMYFUNCTION("""COMPUTED_VALUE"""),294.5)</f>
        <v>294.5</v>
      </c>
      <c r="C88" s="4">
        <f>IFERROR(__xludf.DUMMYFUNCTION("""COMPUTED_VALUE"""),4572.5)</f>
        <v>4572.5</v>
      </c>
      <c r="D88" s="4">
        <f>IFERROR(__xludf.DUMMYFUNCTION("""COMPUTED_VALUE"""),2300.3)</f>
        <v>2300.3</v>
      </c>
      <c r="E88" s="4">
        <f>IFERROR(__xludf.DUMMYFUNCTION("""COMPUTED_VALUE"""),287.85)</f>
        <v>287.85</v>
      </c>
      <c r="F88" s="4">
        <f>IFERROR(__xludf.DUMMYFUNCTION("""COMPUTED_VALUE"""),124.61)</f>
        <v>124.61</v>
      </c>
      <c r="G88" s="4">
        <f>IFERROR(__xludf.DUMMYFUNCTION("""COMPUTED_VALUE"""),23379.55)</f>
        <v>23379.55</v>
      </c>
    </row>
    <row r="89">
      <c r="A89" s="5">
        <f>IFERROR(__xludf.DUMMYFUNCTION("""COMPUTED_VALUE"""),46155.64583333333)</f>
        <v>46155.64583</v>
      </c>
      <c r="B89" s="4">
        <f>IFERROR(__xludf.DUMMYFUNCTION("""COMPUTED_VALUE"""),297.15)</f>
        <v>297.15</v>
      </c>
      <c r="C89" s="4">
        <f>IFERROR(__xludf.DUMMYFUNCTION("""COMPUTED_VALUE"""),4618.5)</f>
        <v>4618.5</v>
      </c>
      <c r="D89" s="4">
        <f>IFERROR(__xludf.DUMMYFUNCTION("""COMPUTED_VALUE"""),2272.8)</f>
        <v>2272.8</v>
      </c>
      <c r="E89" s="4">
        <f>IFERROR(__xludf.DUMMYFUNCTION("""COMPUTED_VALUE"""),297.1)</f>
        <v>297.1</v>
      </c>
      <c r="F89" s="4">
        <f>IFERROR(__xludf.DUMMYFUNCTION("""COMPUTED_VALUE"""),131.74)</f>
        <v>131.74</v>
      </c>
      <c r="G89" s="4">
        <f>IFERROR(__xludf.DUMMYFUNCTION("""COMPUTED_VALUE"""),23412.6)</f>
        <v>23412.6</v>
      </c>
    </row>
    <row r="90">
      <c r="A90" s="5">
        <f>IFERROR(__xludf.DUMMYFUNCTION("""COMPUTED_VALUE"""),46156.64583333333)</f>
        <v>46156.64583</v>
      </c>
      <c r="B90" s="4">
        <f>IFERROR(__xludf.DUMMYFUNCTION("""COMPUTED_VALUE"""),300.9)</f>
        <v>300.9</v>
      </c>
      <c r="C90" s="4">
        <f>IFERROR(__xludf.DUMMYFUNCTION("""COMPUTED_VALUE"""),4608.0)</f>
        <v>4608</v>
      </c>
      <c r="D90" s="4">
        <f>IFERROR(__xludf.DUMMYFUNCTION("""COMPUTED_VALUE"""),2246.0)</f>
        <v>2246</v>
      </c>
      <c r="E90" s="4">
        <f>IFERROR(__xludf.DUMMYFUNCTION("""COMPUTED_VALUE"""),295.0)</f>
        <v>295</v>
      </c>
      <c r="F90" s="4">
        <f>IFERROR(__xludf.DUMMYFUNCTION("""COMPUTED_VALUE"""),131.78)</f>
        <v>131.78</v>
      </c>
      <c r="G90" s="4">
        <f>IFERROR(__xludf.DUMMYFUNCTION("""COMPUTED_VALUE"""),23689.6)</f>
        <v>23689.6</v>
      </c>
    </row>
    <row r="91">
      <c r="A91" s="5">
        <f>IFERROR(__xludf.DUMMYFUNCTION("""COMPUTED_VALUE"""),46157.64583333333)</f>
        <v>46157.64583</v>
      </c>
      <c r="B91" s="4">
        <f>IFERROR(__xludf.DUMMYFUNCTION("""COMPUTED_VALUE"""),299.35)</f>
        <v>299.35</v>
      </c>
      <c r="C91" s="4">
        <f>IFERROR(__xludf.DUMMYFUNCTION("""COMPUTED_VALUE"""),4386.2)</f>
        <v>4386.2</v>
      </c>
      <c r="D91" s="4">
        <f>IFERROR(__xludf.DUMMYFUNCTION("""COMPUTED_VALUE"""),2264.0)</f>
        <v>2264</v>
      </c>
      <c r="E91" s="4">
        <f>IFERROR(__xludf.DUMMYFUNCTION("""COMPUTED_VALUE"""),284.45)</f>
        <v>284.45</v>
      </c>
      <c r="F91" s="4">
        <f>IFERROR(__xludf.DUMMYFUNCTION("""COMPUTED_VALUE"""),129.41)</f>
        <v>129.41</v>
      </c>
      <c r="G91" s="4">
        <f>IFERROR(__xludf.DUMMYFUNCTION("""COMPUTED_VALUE"""),23643.5)</f>
        <v>23643.5</v>
      </c>
    </row>
    <row r="92">
      <c r="A92" s="5">
        <f>IFERROR(__xludf.DUMMYFUNCTION("""COMPUTED_VALUE"""),46160.64583333333)</f>
        <v>46160.64583</v>
      </c>
      <c r="B92" s="4">
        <f>IFERROR(__xludf.DUMMYFUNCTION("""COMPUTED_VALUE"""),297.2)</f>
        <v>297.2</v>
      </c>
      <c r="C92" s="4">
        <f>IFERROR(__xludf.DUMMYFUNCTION("""COMPUTED_VALUE"""),4326.5)</f>
        <v>4326.5</v>
      </c>
      <c r="D92" s="4">
        <f>IFERROR(__xludf.DUMMYFUNCTION("""COMPUTED_VALUE"""),2283.2)</f>
        <v>2283.2</v>
      </c>
      <c r="E92" s="4">
        <f>IFERROR(__xludf.DUMMYFUNCTION("""COMPUTED_VALUE"""),280.8)</f>
        <v>280.8</v>
      </c>
      <c r="F92" s="4">
        <f>IFERROR(__xludf.DUMMYFUNCTION("""COMPUTED_VALUE"""),129.7)</f>
        <v>129.7</v>
      </c>
      <c r="G92" s="4">
        <f>IFERROR(__xludf.DUMMYFUNCTION("""COMPUTED_VALUE"""),23649.95)</f>
        <v>23649.95</v>
      </c>
    </row>
    <row r="93">
      <c r="A93" s="5">
        <f>IFERROR(__xludf.DUMMYFUNCTION("""COMPUTED_VALUE"""),46161.64583333333)</f>
        <v>46161.64583</v>
      </c>
      <c r="B93" s="4">
        <f>IFERROR(__xludf.DUMMYFUNCTION("""COMPUTED_VALUE"""),296.5)</f>
        <v>296.5</v>
      </c>
      <c r="C93" s="4">
        <f>IFERROR(__xludf.DUMMYFUNCTION("""COMPUTED_VALUE"""),4333.2)</f>
        <v>4333.2</v>
      </c>
      <c r="D93" s="4">
        <f>IFERROR(__xludf.DUMMYFUNCTION("""COMPUTED_VALUE"""),2327.1)</f>
        <v>2327.1</v>
      </c>
      <c r="E93" s="4">
        <f>IFERROR(__xludf.DUMMYFUNCTION("""COMPUTED_VALUE"""),286.45)</f>
        <v>286.45</v>
      </c>
      <c r="F93" s="4">
        <f>IFERROR(__xludf.DUMMYFUNCTION("""COMPUTED_VALUE"""),130.64)</f>
        <v>130.64</v>
      </c>
      <c r="G93" s="4">
        <f>IFERROR(__xludf.DUMMYFUNCTION("""COMPUTED_VALUE"""),23618.0)</f>
        <v>23618</v>
      </c>
    </row>
    <row r="94">
      <c r="A94" s="5">
        <f>IFERROR(__xludf.DUMMYFUNCTION("""COMPUTED_VALUE"""),46162.64583333333)</f>
        <v>46162.64583</v>
      </c>
      <c r="B94" s="4">
        <f>IFERROR(__xludf.DUMMYFUNCTION("""COMPUTED_VALUE"""),298.3)</f>
        <v>298.3</v>
      </c>
      <c r="C94" s="4">
        <f>IFERROR(__xludf.DUMMYFUNCTION("""COMPUTED_VALUE"""),4326.5)</f>
        <v>4326.5</v>
      </c>
      <c r="D94" s="4">
        <f>IFERROR(__xludf.DUMMYFUNCTION("""COMPUTED_VALUE"""),2327.4)</f>
        <v>2327.4</v>
      </c>
      <c r="E94" s="4">
        <f>IFERROR(__xludf.DUMMYFUNCTION("""COMPUTED_VALUE"""),293.75)</f>
        <v>293.75</v>
      </c>
      <c r="F94" s="4">
        <f>IFERROR(__xludf.DUMMYFUNCTION("""COMPUTED_VALUE"""),130.2)</f>
        <v>130.2</v>
      </c>
      <c r="G94" s="4">
        <f>IFERROR(__xludf.DUMMYFUNCTION("""COMPUTED_VALUE"""),23659.0)</f>
        <v>23659</v>
      </c>
    </row>
    <row r="95">
      <c r="A95" s="5">
        <f>IFERROR(__xludf.DUMMYFUNCTION("""COMPUTED_VALUE"""),46163.64583333333)</f>
        <v>46163.64583</v>
      </c>
      <c r="B95" s="4">
        <f>IFERROR(__xludf.DUMMYFUNCTION("""COMPUTED_VALUE"""),295.85)</f>
        <v>295.85</v>
      </c>
      <c r="C95" s="4">
        <f>IFERROR(__xludf.DUMMYFUNCTION("""COMPUTED_VALUE"""),4370.4)</f>
        <v>4370.4</v>
      </c>
      <c r="D95" s="4">
        <f>IFERROR(__xludf.DUMMYFUNCTION("""COMPUTED_VALUE"""),2327.2)</f>
        <v>2327.2</v>
      </c>
      <c r="E95" s="4">
        <f>IFERROR(__xludf.DUMMYFUNCTION("""COMPUTED_VALUE"""),296.4)</f>
        <v>296.4</v>
      </c>
      <c r="F95" s="4">
        <f>IFERROR(__xludf.DUMMYFUNCTION("""COMPUTED_VALUE"""),130.74)</f>
        <v>130.74</v>
      </c>
      <c r="G95" s="4">
        <f>IFERROR(__xludf.DUMMYFUNCTION("""COMPUTED_VALUE"""),23654.7)</f>
        <v>23654.7</v>
      </c>
    </row>
    <row r="96">
      <c r="A96" s="5">
        <f>IFERROR(__xludf.DUMMYFUNCTION("""COMPUTED_VALUE"""),46164.64583333333)</f>
        <v>46164.64583</v>
      </c>
      <c r="B96" s="4">
        <f>IFERROR(__xludf.DUMMYFUNCTION("""COMPUTED_VALUE"""),290.0)</f>
        <v>290</v>
      </c>
      <c r="C96" s="4">
        <f>IFERROR(__xludf.DUMMYFUNCTION("""COMPUTED_VALUE"""),4368.4)</f>
        <v>4368.4</v>
      </c>
      <c r="D96" s="4">
        <f>IFERROR(__xludf.DUMMYFUNCTION("""COMPUTED_VALUE"""),2317.3)</f>
        <v>2317.3</v>
      </c>
      <c r="E96" s="4">
        <f>IFERROR(__xludf.DUMMYFUNCTION("""COMPUTED_VALUE"""),295.6)</f>
        <v>295.6</v>
      </c>
      <c r="F96" s="4">
        <f>IFERROR(__xludf.DUMMYFUNCTION("""COMPUTED_VALUE"""),130.5)</f>
        <v>130.5</v>
      </c>
      <c r="G96" s="4">
        <f>IFERROR(__xludf.DUMMYFUNCTION("""COMPUTED_VALUE"""),23719.3)</f>
        <v>23719.3</v>
      </c>
    </row>
    <row r="97">
      <c r="A97" s="5">
        <f>IFERROR(__xludf.DUMMYFUNCTION("""COMPUTED_VALUE"""),46167.64583333333)</f>
        <v>46167.64583</v>
      </c>
      <c r="B97" s="4">
        <f>IFERROR(__xludf.DUMMYFUNCTION("""COMPUTED_VALUE"""),284.95)</f>
        <v>284.95</v>
      </c>
      <c r="C97" s="4">
        <f>IFERROR(__xludf.DUMMYFUNCTION("""COMPUTED_VALUE"""),4425.9)</f>
        <v>4425.9</v>
      </c>
      <c r="D97" s="4">
        <f>IFERROR(__xludf.DUMMYFUNCTION("""COMPUTED_VALUE"""),2308.2)</f>
        <v>2308.2</v>
      </c>
      <c r="E97" s="4">
        <f>IFERROR(__xludf.DUMMYFUNCTION("""COMPUTED_VALUE"""),308.25)</f>
        <v>308.25</v>
      </c>
      <c r="F97" s="4">
        <f>IFERROR(__xludf.DUMMYFUNCTION("""COMPUTED_VALUE"""),130.51)</f>
        <v>130.51</v>
      </c>
      <c r="G97" s="4">
        <f>IFERROR(__xludf.DUMMYFUNCTION("""COMPUTED_VALUE"""),24031.7)</f>
        <v>24031.7</v>
      </c>
    </row>
    <row r="98">
      <c r="A98" s="5">
        <f>IFERROR(__xludf.DUMMYFUNCTION("""COMPUTED_VALUE"""),46168.64583333333)</f>
        <v>46168.64583</v>
      </c>
      <c r="B98" s="4">
        <f>IFERROR(__xludf.DUMMYFUNCTION("""COMPUTED_VALUE"""),287.5)</f>
        <v>287.5</v>
      </c>
      <c r="C98" s="4">
        <f>IFERROR(__xludf.DUMMYFUNCTION("""COMPUTED_VALUE"""),4427.7)</f>
        <v>4427.7</v>
      </c>
      <c r="D98" s="4">
        <f>IFERROR(__xludf.DUMMYFUNCTION("""COMPUTED_VALUE"""),2276.2)</f>
        <v>2276.2</v>
      </c>
      <c r="E98" s="4">
        <f>IFERROR(__xludf.DUMMYFUNCTION("""COMPUTED_VALUE"""),304.6)</f>
        <v>304.6</v>
      </c>
      <c r="F98" s="4">
        <f>IFERROR(__xludf.DUMMYFUNCTION("""COMPUTED_VALUE"""),129.58)</f>
        <v>129.58</v>
      </c>
      <c r="G98" s="4">
        <f>IFERROR(__xludf.DUMMYFUNCTION("""COMPUTED_VALUE"""),23913.7)</f>
        <v>23913.7</v>
      </c>
    </row>
    <row r="99">
      <c r="A99" s="5">
        <f>IFERROR(__xludf.DUMMYFUNCTION("""COMPUTED_VALUE"""),46169.64583333333)</f>
        <v>46169.64583</v>
      </c>
      <c r="B99" s="4">
        <f>IFERROR(__xludf.DUMMYFUNCTION("""COMPUTED_VALUE"""),274.05)</f>
        <v>274.05</v>
      </c>
      <c r="C99" s="4">
        <f>IFERROR(__xludf.DUMMYFUNCTION("""COMPUTED_VALUE"""),4413.0)</f>
        <v>4413</v>
      </c>
      <c r="D99" s="4">
        <f>IFERROR(__xludf.DUMMYFUNCTION("""COMPUTED_VALUE"""),2284.2)</f>
        <v>2284.2</v>
      </c>
      <c r="E99" s="4">
        <f>IFERROR(__xludf.DUMMYFUNCTION("""COMPUTED_VALUE"""),307.15)</f>
        <v>307.15</v>
      </c>
      <c r="F99" s="4">
        <f>IFERROR(__xludf.DUMMYFUNCTION("""COMPUTED_VALUE"""),129.04)</f>
        <v>129.04</v>
      </c>
      <c r="G99" s="4">
        <f>IFERROR(__xludf.DUMMYFUNCTION("""COMPUTED_VALUE"""),23907.15)</f>
        <v>23907.15</v>
      </c>
    </row>
    <row r="100">
      <c r="A100" s="5">
        <f>IFERROR(__xludf.DUMMYFUNCTION("""COMPUTED_VALUE"""),46171.64583333333)</f>
        <v>46171.64583</v>
      </c>
      <c r="B100" s="4">
        <f>IFERROR(__xludf.DUMMYFUNCTION("""COMPUTED_VALUE"""),265.4)</f>
        <v>265.4</v>
      </c>
      <c r="C100" s="4">
        <f>IFERROR(__xludf.DUMMYFUNCTION("""COMPUTED_VALUE"""),4303.8)</f>
        <v>4303.8</v>
      </c>
      <c r="D100" s="4">
        <f>IFERROR(__xludf.DUMMYFUNCTION("""COMPUTED_VALUE"""),2258.9)</f>
        <v>2258.9</v>
      </c>
      <c r="E100" s="4">
        <f>IFERROR(__xludf.DUMMYFUNCTION("""COMPUTED_VALUE"""),298.1)</f>
        <v>298.1</v>
      </c>
      <c r="F100" s="4">
        <f>IFERROR(__xludf.DUMMYFUNCTION("""COMPUTED_VALUE"""),128.65)</f>
        <v>128.65</v>
      </c>
      <c r="G100" s="4">
        <f>IFERROR(__xludf.DUMMYFUNCTION("""COMPUTED_VALUE"""),23547.75)</f>
        <v>23547.75</v>
      </c>
    </row>
    <row r="101">
      <c r="A101" s="5">
        <f>IFERROR(__xludf.DUMMYFUNCTION("""COMPUTED_VALUE"""),46174.64583333333)</f>
        <v>46174.64583</v>
      </c>
      <c r="B101" s="4">
        <f>IFERROR(__xludf.DUMMYFUNCTION("""COMPUTED_VALUE"""),264.3)</f>
        <v>264.3</v>
      </c>
      <c r="C101" s="4">
        <f>IFERROR(__xludf.DUMMYFUNCTION("""COMPUTED_VALUE"""),4254.1)</f>
        <v>4254.1</v>
      </c>
      <c r="D101" s="4">
        <f>IFERROR(__xludf.DUMMYFUNCTION("""COMPUTED_VALUE"""),2297.4)</f>
        <v>2297.4</v>
      </c>
      <c r="E101" s="4">
        <f>IFERROR(__xludf.DUMMYFUNCTION("""COMPUTED_VALUE"""),296.85)</f>
        <v>296.85</v>
      </c>
      <c r="F101" s="4">
        <f>IFERROR(__xludf.DUMMYFUNCTION("""COMPUTED_VALUE"""),127.49)</f>
        <v>127.49</v>
      </c>
      <c r="G101" s="4">
        <f>IFERROR(__xludf.DUMMYFUNCTION("""COMPUTED_VALUE"""),23382.6)</f>
        <v>23382.6</v>
      </c>
    </row>
    <row r="102">
      <c r="A102" s="5">
        <f>IFERROR(__xludf.DUMMYFUNCTION("""COMPUTED_VALUE"""),46175.64583333333)</f>
        <v>46175.64583</v>
      </c>
      <c r="B102" s="4">
        <f>IFERROR(__xludf.DUMMYFUNCTION("""COMPUTED_VALUE"""),265.05)</f>
        <v>265.05</v>
      </c>
      <c r="C102" s="4">
        <f>IFERROR(__xludf.DUMMYFUNCTION("""COMPUTED_VALUE"""),4278.5)</f>
        <v>4278.5</v>
      </c>
      <c r="D102" s="4">
        <f>IFERROR(__xludf.DUMMYFUNCTION("""COMPUTED_VALUE"""),2446.9)</f>
        <v>2446.9</v>
      </c>
      <c r="E102" s="4">
        <f>IFERROR(__xludf.DUMMYFUNCTION("""COMPUTED_VALUE"""),294.4)</f>
        <v>294.4</v>
      </c>
      <c r="F102" s="4">
        <f>IFERROR(__xludf.DUMMYFUNCTION("""COMPUTED_VALUE"""),128.67)</f>
        <v>128.67</v>
      </c>
      <c r="G102" s="4">
        <f>IFERROR(__xludf.DUMMYFUNCTION("""COMPUTED_VALUE"""),23483.55)</f>
        <v>23483.55</v>
      </c>
    </row>
    <row r="103">
      <c r="A103" s="5">
        <f>IFERROR(__xludf.DUMMYFUNCTION("""COMPUTED_VALUE"""),46176.64583333333)</f>
        <v>46176.64583</v>
      </c>
      <c r="B103" s="4">
        <f>IFERROR(__xludf.DUMMYFUNCTION("""COMPUTED_VALUE"""),267.75)</f>
        <v>267.75</v>
      </c>
      <c r="C103" s="4">
        <f>IFERROR(__xludf.DUMMYFUNCTION("""COMPUTED_VALUE"""),4264.1)</f>
        <v>4264.1</v>
      </c>
      <c r="D103" s="4">
        <f>IFERROR(__xludf.DUMMYFUNCTION("""COMPUTED_VALUE"""),2241.7)</f>
        <v>2241.7</v>
      </c>
      <c r="E103" s="4">
        <f>IFERROR(__xludf.DUMMYFUNCTION("""COMPUTED_VALUE"""),292.1)</f>
        <v>292.1</v>
      </c>
      <c r="F103" s="4">
        <f>IFERROR(__xludf.DUMMYFUNCTION("""COMPUTED_VALUE"""),127.64)</f>
        <v>127.64</v>
      </c>
      <c r="G103" s="4">
        <f>IFERROR(__xludf.DUMMYFUNCTION("""COMPUTED_VALUE"""),23405.6)</f>
        <v>23405.6</v>
      </c>
    </row>
    <row r="104">
      <c r="A104" s="5">
        <f>IFERROR(__xludf.DUMMYFUNCTION("""COMPUTED_VALUE"""),46177.64583333333)</f>
        <v>46177.64583</v>
      </c>
      <c r="B104" s="4">
        <f>IFERROR(__xludf.DUMMYFUNCTION("""COMPUTED_VALUE"""),267.55)</f>
        <v>267.55</v>
      </c>
      <c r="C104" s="4">
        <f>IFERROR(__xludf.DUMMYFUNCTION("""COMPUTED_VALUE"""),4191.0)</f>
        <v>4191</v>
      </c>
      <c r="D104" s="4">
        <f>IFERROR(__xludf.DUMMYFUNCTION("""COMPUTED_VALUE"""),2241.0)</f>
        <v>2241</v>
      </c>
      <c r="E104" s="4">
        <f>IFERROR(__xludf.DUMMYFUNCTION("""COMPUTED_VALUE"""),295.15)</f>
        <v>295.15</v>
      </c>
      <c r="F104" s="4">
        <f>IFERROR(__xludf.DUMMYFUNCTION("""COMPUTED_VALUE"""),128.5)</f>
        <v>128.5</v>
      </c>
      <c r="G104" s="4">
        <f>IFERROR(__xludf.DUMMYFUNCTION("""COMPUTED_VALUE"""),23416.55)</f>
        <v>23416.55</v>
      </c>
    </row>
    <row r="105">
      <c r="A105" s="5">
        <f>IFERROR(__xludf.DUMMYFUNCTION("""COMPUTED_VALUE"""),46178.64583333333)</f>
        <v>46178.64583</v>
      </c>
      <c r="B105" s="4">
        <f>IFERROR(__xludf.DUMMYFUNCTION("""COMPUTED_VALUE"""),264.75)</f>
        <v>264.75</v>
      </c>
      <c r="C105" s="4">
        <f>IFERROR(__xludf.DUMMYFUNCTION("""COMPUTED_VALUE"""),4216.9)</f>
        <v>4216.9</v>
      </c>
      <c r="D105" s="4">
        <f>IFERROR(__xludf.DUMMYFUNCTION("""COMPUTED_VALUE"""),2198.9)</f>
        <v>2198.9</v>
      </c>
      <c r="E105" s="4">
        <f>IFERROR(__xludf.DUMMYFUNCTION("""COMPUTED_VALUE"""),295.0)</f>
        <v>295</v>
      </c>
      <c r="F105" s="4">
        <f>IFERROR(__xludf.DUMMYFUNCTION("""COMPUTED_VALUE"""),127.78)</f>
        <v>127.78</v>
      </c>
      <c r="G105" s="4">
        <f>IFERROR(__xludf.DUMMYFUNCTION("""COMPUTED_VALUE"""),23366.7)</f>
        <v>23366.7</v>
      </c>
    </row>
    <row r="106">
      <c r="A106" s="5">
        <f>IFERROR(__xludf.DUMMYFUNCTION("""COMPUTED_VALUE"""),46181.64583333333)</f>
        <v>46181.64583</v>
      </c>
      <c r="B106" s="4">
        <f>IFERROR(__xludf.DUMMYFUNCTION("""COMPUTED_VALUE"""),264.65)</f>
        <v>264.65</v>
      </c>
      <c r="C106" s="4">
        <f>IFERROR(__xludf.DUMMYFUNCTION("""COMPUTED_VALUE"""),4238.0)</f>
        <v>4238</v>
      </c>
      <c r="D106" s="4">
        <f>IFERROR(__xludf.DUMMYFUNCTION("""COMPUTED_VALUE"""),2151.4)</f>
        <v>2151.4</v>
      </c>
      <c r="E106" s="4">
        <f>IFERROR(__xludf.DUMMYFUNCTION("""COMPUTED_VALUE"""),285.15)</f>
        <v>285.15</v>
      </c>
      <c r="F106" s="4">
        <f>IFERROR(__xludf.DUMMYFUNCTION("""COMPUTED_VALUE"""),124.16)</f>
        <v>124.16</v>
      </c>
      <c r="G106" s="4">
        <f>IFERROR(__xludf.DUMMYFUNCTION("""COMPUTED_VALUE"""),23123.0)</f>
        <v>23123</v>
      </c>
    </row>
    <row r="107">
      <c r="A107" s="5">
        <f>IFERROR(__xludf.DUMMYFUNCTION("""COMPUTED_VALUE"""),46182.64583333333)</f>
        <v>46182.64583</v>
      </c>
      <c r="B107" s="4">
        <f>IFERROR(__xludf.DUMMYFUNCTION("""COMPUTED_VALUE"""),259.0)</f>
        <v>259</v>
      </c>
      <c r="C107" s="4">
        <f>IFERROR(__xludf.DUMMYFUNCTION("""COMPUTED_VALUE"""),4263.8)</f>
        <v>4263.8</v>
      </c>
      <c r="D107" s="4">
        <f>IFERROR(__xludf.DUMMYFUNCTION("""COMPUTED_VALUE"""),2151.0)</f>
        <v>2151</v>
      </c>
      <c r="E107" s="4">
        <f>IFERROR(__xludf.DUMMYFUNCTION("""COMPUTED_VALUE"""),289.1)</f>
        <v>289.1</v>
      </c>
      <c r="F107" s="4">
        <f>IFERROR(__xludf.DUMMYFUNCTION("""COMPUTED_VALUE"""),125.39)</f>
        <v>125.39</v>
      </c>
      <c r="G107" s="4">
        <f>IFERROR(__xludf.DUMMYFUNCTION("""COMPUTED_VALUE"""),23242.1)</f>
        <v>23242.1</v>
      </c>
    </row>
    <row r="108">
      <c r="A108" s="5">
        <f>IFERROR(__xludf.DUMMYFUNCTION("""COMPUTED_VALUE"""),46183.64583333333)</f>
        <v>46183.64583</v>
      </c>
      <c r="B108" s="4">
        <f>IFERROR(__xludf.DUMMYFUNCTION("""COMPUTED_VALUE"""),251.9)</f>
        <v>251.9</v>
      </c>
      <c r="C108" s="4">
        <f>IFERROR(__xludf.DUMMYFUNCTION("""COMPUTED_VALUE"""),4219.2)</f>
        <v>4219.2</v>
      </c>
      <c r="D108" s="4">
        <f>IFERROR(__xludf.DUMMYFUNCTION("""COMPUTED_VALUE"""),2153.9)</f>
        <v>2153.9</v>
      </c>
      <c r="E108" s="4">
        <f>IFERROR(__xludf.DUMMYFUNCTION("""COMPUTED_VALUE"""),288.0)</f>
        <v>288</v>
      </c>
      <c r="F108" s="4">
        <f>IFERROR(__xludf.DUMMYFUNCTION("""COMPUTED_VALUE"""),121.15)</f>
        <v>121.15</v>
      </c>
      <c r="G108" s="4">
        <f>IFERROR(__xludf.DUMMYFUNCTION("""COMPUTED_VALUE"""),23214.95)</f>
        <v>23214.95</v>
      </c>
    </row>
    <row r="109">
      <c r="A109" s="5">
        <f>IFERROR(__xludf.DUMMYFUNCTION("""COMPUTED_VALUE"""),46184.64583333333)</f>
        <v>46184.64583</v>
      </c>
      <c r="B109" s="4">
        <f>IFERROR(__xludf.DUMMYFUNCTION("""COMPUTED_VALUE"""),252.6)</f>
        <v>252.6</v>
      </c>
      <c r="C109" s="4">
        <f>IFERROR(__xludf.DUMMYFUNCTION("""COMPUTED_VALUE"""),4172.3)</f>
        <v>4172.3</v>
      </c>
      <c r="D109" s="4">
        <f>IFERROR(__xludf.DUMMYFUNCTION("""COMPUTED_VALUE"""),2135.6)</f>
        <v>2135.6</v>
      </c>
      <c r="E109" s="4">
        <f>IFERROR(__xludf.DUMMYFUNCTION("""COMPUTED_VALUE"""),286.35)</f>
        <v>286.35</v>
      </c>
      <c r="F109" s="4">
        <f>IFERROR(__xludf.DUMMYFUNCTION("""COMPUTED_VALUE"""),119.28)</f>
        <v>119.28</v>
      </c>
      <c r="G109" s="4">
        <f>IFERROR(__xludf.DUMMYFUNCTION("""COMPUTED_VALUE"""),23161.6)</f>
        <v>23161.6</v>
      </c>
    </row>
    <row r="110">
      <c r="A110" s="5">
        <f>IFERROR(__xludf.DUMMYFUNCTION("""COMPUTED_VALUE"""),46185.64583333333)</f>
        <v>46185.64583</v>
      </c>
      <c r="B110" s="4">
        <f>IFERROR(__xludf.DUMMYFUNCTION("""COMPUTED_VALUE"""),246.2)</f>
        <v>246.2</v>
      </c>
      <c r="C110" s="4">
        <f>IFERROR(__xludf.DUMMYFUNCTION("""COMPUTED_VALUE"""),4192.3)</f>
        <v>4192.3</v>
      </c>
      <c r="D110" s="4">
        <f>IFERROR(__xludf.DUMMYFUNCTION("""COMPUTED_VALUE"""),2161.4)</f>
        <v>2161.4</v>
      </c>
      <c r="E110" s="4">
        <f>IFERROR(__xludf.DUMMYFUNCTION("""COMPUTED_VALUE"""),302.35)</f>
        <v>302.35</v>
      </c>
      <c r="F110" s="4">
        <f>IFERROR(__xludf.DUMMYFUNCTION("""COMPUTED_VALUE"""),121.92)</f>
        <v>121.92</v>
      </c>
      <c r="G110" s="4">
        <f>IFERROR(__xludf.DUMMYFUNCTION("""COMPUTED_VALUE"""),23622.9)</f>
        <v>23622.9</v>
      </c>
    </row>
    <row r="111">
      <c r="A111" s="5">
        <f>IFERROR(__xludf.DUMMYFUNCTION("""COMPUTED_VALUE"""),46188.64583333333)</f>
        <v>46188.64583</v>
      </c>
      <c r="B111" s="4">
        <f>IFERROR(__xludf.DUMMYFUNCTION("""COMPUTED_VALUE"""),243.65)</f>
        <v>243.65</v>
      </c>
      <c r="C111" s="4">
        <f>IFERROR(__xludf.DUMMYFUNCTION("""COMPUTED_VALUE"""),4284.7)</f>
        <v>4284.7</v>
      </c>
      <c r="D111" s="4">
        <f>IFERROR(__xludf.DUMMYFUNCTION("""COMPUTED_VALUE"""),2162.0)</f>
        <v>2162</v>
      </c>
      <c r="E111" s="4">
        <f>IFERROR(__xludf.DUMMYFUNCTION("""COMPUTED_VALUE"""),310.6)</f>
        <v>310.6</v>
      </c>
      <c r="F111" s="4">
        <f>IFERROR(__xludf.DUMMYFUNCTION("""COMPUTED_VALUE"""),124.11)</f>
        <v>124.11</v>
      </c>
      <c r="G111" s="4">
        <f>IFERROR(__xludf.DUMMYFUNCTION("""COMPUTED_VALUE"""),23853.9)</f>
        <v>23853.9</v>
      </c>
    </row>
    <row r="112">
      <c r="A112" s="5">
        <f>IFERROR(__xludf.DUMMYFUNCTION("""COMPUTED_VALUE"""),46189.64583333333)</f>
        <v>46189.64583</v>
      </c>
      <c r="B112" s="4">
        <f>IFERROR(__xludf.DUMMYFUNCTION("""COMPUTED_VALUE"""),248.2)</f>
        <v>248.2</v>
      </c>
      <c r="C112" s="4">
        <f>IFERROR(__xludf.DUMMYFUNCTION("""COMPUTED_VALUE"""),4255.8)</f>
        <v>4255.8</v>
      </c>
      <c r="D112" s="4">
        <f>IFERROR(__xludf.DUMMYFUNCTION("""COMPUTED_VALUE"""),2199.0)</f>
        <v>2199</v>
      </c>
      <c r="E112" s="4">
        <f>IFERROR(__xludf.DUMMYFUNCTION("""COMPUTED_VALUE"""),312.1)</f>
        <v>312.1</v>
      </c>
      <c r="F112" s="4">
        <f>IFERROR(__xludf.DUMMYFUNCTION("""COMPUTED_VALUE"""),124.14)</f>
        <v>124.14</v>
      </c>
      <c r="G112" s="4">
        <f>IFERROR(__xludf.DUMMYFUNCTION("""COMPUTED_VALUE"""),23989.15)</f>
        <v>23989.15</v>
      </c>
    </row>
    <row r="113">
      <c r="A113" s="5">
        <f>IFERROR(__xludf.DUMMYFUNCTION("""COMPUTED_VALUE"""),46190.64583333333)</f>
        <v>46190.64583</v>
      </c>
      <c r="B113" s="4">
        <f>IFERROR(__xludf.DUMMYFUNCTION("""COMPUTED_VALUE"""),245.0)</f>
        <v>245</v>
      </c>
      <c r="C113" s="4">
        <f>IFERROR(__xludf.DUMMYFUNCTION("""COMPUTED_VALUE"""),4460.5)</f>
        <v>4460.5</v>
      </c>
      <c r="D113" s="4">
        <f>IFERROR(__xludf.DUMMYFUNCTION("""COMPUTED_VALUE"""),2223.0)</f>
        <v>2223</v>
      </c>
      <c r="E113" s="4">
        <f>IFERROR(__xludf.DUMMYFUNCTION("""COMPUTED_VALUE"""),317.95)</f>
        <v>317.95</v>
      </c>
      <c r="F113" s="4">
        <f>IFERROR(__xludf.DUMMYFUNCTION("""COMPUTED_VALUE"""),123.75)</f>
        <v>123.75</v>
      </c>
      <c r="G113" s="4">
        <f>IFERROR(__xludf.DUMMYFUNCTION("""COMPUTED_VALUE"""),24085.7)</f>
        <v>24085.7</v>
      </c>
    </row>
    <row r="114">
      <c r="A114" s="5">
        <f>IFERROR(__xludf.DUMMYFUNCTION("""COMPUTED_VALUE"""),46191.64583333333)</f>
        <v>46191.64583</v>
      </c>
      <c r="B114" s="4">
        <f>IFERROR(__xludf.DUMMYFUNCTION("""COMPUTED_VALUE"""),245.3)</f>
        <v>245.3</v>
      </c>
      <c r="C114" s="4">
        <f>IFERROR(__xludf.DUMMYFUNCTION("""COMPUTED_VALUE"""),4411.5)</f>
        <v>4411.5</v>
      </c>
      <c r="D114" s="4">
        <f>IFERROR(__xludf.DUMMYFUNCTION("""COMPUTED_VALUE"""),2203.3)</f>
        <v>2203.3</v>
      </c>
      <c r="E114" s="4">
        <f>IFERROR(__xludf.DUMMYFUNCTION("""COMPUTED_VALUE"""),316.3)</f>
        <v>316.3</v>
      </c>
      <c r="F114" s="4">
        <f>IFERROR(__xludf.DUMMYFUNCTION("""COMPUTED_VALUE"""),122.12)</f>
        <v>122.12</v>
      </c>
      <c r="G114" s="4">
        <f>IFERROR(__xludf.DUMMYFUNCTION("""COMPUTED_VALUE"""),24168.0)</f>
        <v>24168</v>
      </c>
    </row>
    <row r="115">
      <c r="A115" s="5">
        <f>IFERROR(__xludf.DUMMYFUNCTION("""COMPUTED_VALUE"""),46192.64583333333)</f>
        <v>46192.64583</v>
      </c>
      <c r="B115" s="4">
        <f>IFERROR(__xludf.DUMMYFUNCTION("""COMPUTED_VALUE"""),246.25)</f>
        <v>246.25</v>
      </c>
      <c r="C115" s="4">
        <f>IFERROR(__xludf.DUMMYFUNCTION("""COMPUTED_VALUE"""),4408.1)</f>
        <v>4408.1</v>
      </c>
      <c r="D115" s="4">
        <f>IFERROR(__xludf.DUMMYFUNCTION("""COMPUTED_VALUE"""),2125.0)</f>
        <v>2125</v>
      </c>
      <c r="E115" s="4">
        <f>IFERROR(__xludf.DUMMYFUNCTION("""COMPUTED_VALUE"""),306.6)</f>
        <v>306.6</v>
      </c>
      <c r="F115" s="4">
        <f>IFERROR(__xludf.DUMMYFUNCTION("""COMPUTED_VALUE"""),119.79)</f>
        <v>119.79</v>
      </c>
      <c r="G115" s="4">
        <f>IFERROR(__xludf.DUMMYFUNCTION("""COMPUTED_VALUE"""),24013.1)</f>
        <v>24013.1</v>
      </c>
    </row>
    <row r="116">
      <c r="A116" s="5">
        <f>IFERROR(__xludf.DUMMYFUNCTION("""COMPUTED_VALUE"""),46195.64583333333)</f>
        <v>46195.64583</v>
      </c>
      <c r="B116" s="4">
        <f>IFERROR(__xludf.DUMMYFUNCTION("""COMPUTED_VALUE"""),245.45)</f>
        <v>245.45</v>
      </c>
      <c r="C116" s="4">
        <f>IFERROR(__xludf.DUMMYFUNCTION("""COMPUTED_VALUE"""),4515.2)</f>
        <v>4515.2</v>
      </c>
      <c r="D116" s="4">
        <f>IFERROR(__xludf.DUMMYFUNCTION("""COMPUTED_VALUE"""),2127.8)</f>
        <v>2127.8</v>
      </c>
      <c r="E116" s="4">
        <f>IFERROR(__xludf.DUMMYFUNCTION("""COMPUTED_VALUE"""),308.6)</f>
        <v>308.6</v>
      </c>
      <c r="F116" s="4">
        <f>IFERROR(__xludf.DUMMYFUNCTION("""COMPUTED_VALUE"""),121.12)</f>
        <v>121.12</v>
      </c>
      <c r="G116" s="4">
        <f>IFERROR(__xludf.DUMMYFUNCTION("""COMPUTED_VALUE"""),24102.9)</f>
        <v>24102.9</v>
      </c>
    </row>
    <row r="117">
      <c r="A117" s="5">
        <f>IFERROR(__xludf.DUMMYFUNCTION("""COMPUTED_VALUE"""),46196.64583333333)</f>
        <v>46196.64583</v>
      </c>
      <c r="B117" s="4">
        <f>IFERROR(__xludf.DUMMYFUNCTION("""COMPUTED_VALUE"""),244.35)</f>
        <v>244.35</v>
      </c>
      <c r="C117" s="4">
        <f>IFERROR(__xludf.DUMMYFUNCTION("""COMPUTED_VALUE"""),4500.2)</f>
        <v>4500.2</v>
      </c>
      <c r="D117" s="4">
        <f>IFERROR(__xludf.DUMMYFUNCTION("""COMPUTED_VALUE"""),2059.6)</f>
        <v>2059.6</v>
      </c>
      <c r="E117" s="4">
        <f>IFERROR(__xludf.DUMMYFUNCTION("""COMPUTED_VALUE"""),308.55)</f>
        <v>308.55</v>
      </c>
      <c r="F117" s="4">
        <f>IFERROR(__xludf.DUMMYFUNCTION("""COMPUTED_VALUE"""),118.9)</f>
        <v>118.9</v>
      </c>
      <c r="G117" s="4">
        <f>IFERROR(__xludf.DUMMYFUNCTION("""COMPUTED_VALUE"""),23824.1)</f>
        <v>23824.1</v>
      </c>
    </row>
    <row r="118">
      <c r="A118" s="5">
        <f>IFERROR(__xludf.DUMMYFUNCTION("""COMPUTED_VALUE"""),46197.64583333333)</f>
        <v>46197.64583</v>
      </c>
      <c r="B118" s="4">
        <f>IFERROR(__xludf.DUMMYFUNCTION("""COMPUTED_VALUE"""),240.0)</f>
        <v>240</v>
      </c>
      <c r="C118" s="4">
        <f>IFERROR(__xludf.DUMMYFUNCTION("""COMPUTED_VALUE"""),4368.9)</f>
        <v>4368.9</v>
      </c>
      <c r="D118" s="4">
        <f>IFERROR(__xludf.DUMMYFUNCTION("""COMPUTED_VALUE"""),2109.0)</f>
        <v>2109</v>
      </c>
      <c r="E118" s="4">
        <f>IFERROR(__xludf.DUMMYFUNCTION("""COMPUTED_VALUE"""),315.7)</f>
        <v>315.7</v>
      </c>
      <c r="F118" s="4">
        <f>IFERROR(__xludf.DUMMYFUNCTION("""COMPUTED_VALUE"""),117.56)</f>
        <v>117.56</v>
      </c>
      <c r="G118" s="4">
        <f>IFERROR(__xludf.DUMMYFUNCTION("""COMPUTED_VALUE"""),24021.65)</f>
        <v>24021.65</v>
      </c>
    </row>
    <row r="119">
      <c r="A119" s="5">
        <f>IFERROR(__xludf.DUMMYFUNCTION("""COMPUTED_VALUE"""),46198.64583333333)</f>
        <v>46198.64583</v>
      </c>
      <c r="B119" s="4">
        <f>IFERROR(__xludf.DUMMYFUNCTION("""COMPUTED_VALUE"""),233.1)</f>
        <v>233.1</v>
      </c>
      <c r="C119" s="4">
        <f>IFERROR(__xludf.DUMMYFUNCTION("""COMPUTED_VALUE"""),4368.7)</f>
        <v>4368.7</v>
      </c>
      <c r="D119" s="4">
        <f>IFERROR(__xludf.DUMMYFUNCTION("""COMPUTED_VALUE"""),2094.7)</f>
        <v>2094.7</v>
      </c>
      <c r="E119" s="4">
        <f>IFERROR(__xludf.DUMMYFUNCTION("""COMPUTED_VALUE"""),309.75)</f>
        <v>309.75</v>
      </c>
      <c r="F119" s="4">
        <f>IFERROR(__xludf.DUMMYFUNCTION("""COMPUTED_VALUE"""),114.96)</f>
        <v>114.96</v>
      </c>
      <c r="G119" s="4">
        <f>IFERROR(__xludf.DUMMYFUNCTION("""COMPUTED_VALUE"""),24056.0)</f>
        <v>24056</v>
      </c>
    </row>
    <row r="120">
      <c r="A120" s="5">
        <f>IFERROR(__xludf.DUMMYFUNCTION("""COMPUTED_VALUE"""),46202.64583333333)</f>
        <v>46202.64583</v>
      </c>
      <c r="B120" s="4">
        <f>IFERROR(__xludf.DUMMYFUNCTION("""COMPUTED_VALUE"""),234.05)</f>
        <v>234.05</v>
      </c>
      <c r="C120" s="4">
        <f>IFERROR(__xludf.DUMMYFUNCTION("""COMPUTED_VALUE"""),4342.8)</f>
        <v>4342.8</v>
      </c>
      <c r="D120" s="4">
        <f>IFERROR(__xludf.DUMMYFUNCTION("""COMPUTED_VALUE"""),2097.9)</f>
        <v>2097.9</v>
      </c>
      <c r="E120" s="4">
        <f>IFERROR(__xludf.DUMMYFUNCTION("""COMPUTED_VALUE"""),300.8)</f>
        <v>300.8</v>
      </c>
      <c r="F120" s="4">
        <f>IFERROR(__xludf.DUMMYFUNCTION("""COMPUTED_VALUE"""),116.43)</f>
        <v>116.43</v>
      </c>
      <c r="G120" s="4">
        <f>IFERROR(__xludf.DUMMYFUNCTION("""COMPUTED_VALUE"""),23946.25)</f>
        <v>23946.25</v>
      </c>
    </row>
    <row r="121">
      <c r="A121" s="5">
        <f>IFERROR(__xludf.DUMMYFUNCTION("""COMPUTED_VALUE"""),46203.64583333333)</f>
        <v>46203.64583</v>
      </c>
      <c r="B121" s="4">
        <f>IFERROR(__xludf.DUMMYFUNCTION("""COMPUTED_VALUE"""),234.9)</f>
        <v>234.9</v>
      </c>
      <c r="C121" s="4">
        <f>IFERROR(__xludf.DUMMYFUNCTION("""COMPUTED_VALUE"""),4381.2)</f>
        <v>4381.2</v>
      </c>
      <c r="D121" s="4">
        <f>IFERROR(__xludf.DUMMYFUNCTION("""COMPUTED_VALUE"""),2031.5)</f>
        <v>2031.5</v>
      </c>
      <c r="E121" s="4">
        <f>IFERROR(__xludf.DUMMYFUNCTION("""COMPUTED_VALUE"""),303.55)</f>
        <v>303.55</v>
      </c>
      <c r="F121" s="4">
        <f>IFERROR(__xludf.DUMMYFUNCTION("""COMPUTED_VALUE"""),115.97)</f>
        <v>115.97</v>
      </c>
      <c r="G121" s="4">
        <f>IFERROR(__xludf.DUMMYFUNCTION("""COMPUTED_VALUE"""),23865.75)</f>
        <v>23865.75</v>
      </c>
    </row>
    <row r="122">
      <c r="A122" s="5">
        <f>IFERROR(__xludf.DUMMYFUNCTION("""COMPUTED_VALUE"""),46204.64583333333)</f>
        <v>46204.64583</v>
      </c>
      <c r="B122" s="4">
        <f>IFERROR(__xludf.DUMMYFUNCTION("""COMPUTED_VALUE"""),234.99)</f>
        <v>234.99</v>
      </c>
      <c r="C122" s="4">
        <f>IFERROR(__xludf.DUMMYFUNCTION("""COMPUTED_VALUE"""),4434.4)</f>
        <v>4434.4</v>
      </c>
      <c r="D122" s="4">
        <f>IFERROR(__xludf.DUMMYFUNCTION("""COMPUTED_VALUE"""),1982.6)</f>
        <v>1982.6</v>
      </c>
      <c r="E122" s="4">
        <f>IFERROR(__xludf.DUMMYFUNCTION("""COMPUTED_VALUE"""),304.2)</f>
        <v>304.2</v>
      </c>
      <c r="F122" s="4">
        <f>IFERROR(__xludf.DUMMYFUNCTION("""COMPUTED_VALUE"""),115.46)</f>
        <v>115.46</v>
      </c>
      <c r="G122" s="4">
        <f>IFERROR(__xludf.DUMMYFUNCTION("""COMPUTED_VALUE"""),24005.85)</f>
        <v>24005.85</v>
      </c>
    </row>
    <row r="123">
      <c r="A123" s="5">
        <f>IFERROR(__xludf.DUMMYFUNCTION("""COMPUTED_VALUE"""),46205.64583333333)</f>
        <v>46205.64583</v>
      </c>
      <c r="B123" s="4">
        <f>IFERROR(__xludf.DUMMYFUNCTION("""COMPUTED_VALUE"""),235.96)</f>
        <v>235.96</v>
      </c>
      <c r="C123" s="4">
        <f>IFERROR(__xludf.DUMMYFUNCTION("""COMPUTED_VALUE"""),4434.0)</f>
        <v>4434</v>
      </c>
      <c r="D123" s="4">
        <f>IFERROR(__xludf.DUMMYFUNCTION("""COMPUTED_VALUE"""),2068.1)</f>
        <v>2068.1</v>
      </c>
      <c r="E123" s="4">
        <f>IFERROR(__xludf.DUMMYFUNCTION("""COMPUTED_VALUE"""),310.45)</f>
        <v>310.45</v>
      </c>
      <c r="F123" s="4">
        <f>IFERROR(__xludf.DUMMYFUNCTION("""COMPUTED_VALUE"""),117.69)</f>
        <v>117.69</v>
      </c>
      <c r="G123" s="4">
        <f>IFERROR(__xludf.DUMMYFUNCTION("""COMPUTED_VALUE"""),24175.7)</f>
        <v>24175.7</v>
      </c>
    </row>
    <row r="124">
      <c r="A124" s="5">
        <f>IFERROR(__xludf.DUMMYFUNCTION("""COMPUTED_VALUE"""),46206.64583333333)</f>
        <v>46206.64583</v>
      </c>
      <c r="B124" s="4">
        <f>IFERROR(__xludf.DUMMYFUNCTION("""COMPUTED_VALUE"""),237.84)</f>
        <v>237.84</v>
      </c>
      <c r="C124" s="4">
        <f>IFERROR(__xludf.DUMMYFUNCTION("""COMPUTED_VALUE"""),4428.9)</f>
        <v>4428.9</v>
      </c>
      <c r="D124" s="4">
        <f>IFERROR(__xludf.DUMMYFUNCTION("""COMPUTED_VALUE"""),2093.5)</f>
        <v>2093.5</v>
      </c>
      <c r="E124" s="4">
        <f>IFERROR(__xludf.DUMMYFUNCTION("""COMPUTED_VALUE"""),308.15)</f>
        <v>308.15</v>
      </c>
      <c r="F124" s="4">
        <f>IFERROR(__xludf.DUMMYFUNCTION("""COMPUTED_VALUE"""),120.31)</f>
        <v>120.31</v>
      </c>
      <c r="G124" s="4">
        <f>IFERROR(__xludf.DUMMYFUNCTION("""COMPUTED_VALUE"""),24270.85)</f>
        <v>24270.85</v>
      </c>
    </row>
    <row r="125">
      <c r="A125" s="5">
        <f>IFERROR(__xludf.DUMMYFUNCTION("""COMPUTED_VALUE"""),46209.64583333333)</f>
        <v>46209.64583</v>
      </c>
      <c r="B125" s="4">
        <f>IFERROR(__xludf.DUMMYFUNCTION("""COMPUTED_VALUE"""),243.9)</f>
        <v>243.9</v>
      </c>
      <c r="C125" s="4">
        <f>IFERROR(__xludf.DUMMYFUNCTION("""COMPUTED_VALUE"""),4440.6)</f>
        <v>4440.6</v>
      </c>
      <c r="D125" s="4">
        <f>IFERROR(__xludf.DUMMYFUNCTION("""COMPUTED_VALUE"""),2057.6)</f>
        <v>2057.6</v>
      </c>
      <c r="E125" s="4">
        <f>IFERROR(__xludf.DUMMYFUNCTION("""COMPUTED_VALUE"""),308.15)</f>
        <v>308.15</v>
      </c>
      <c r="F125" s="4">
        <f>IFERROR(__xludf.DUMMYFUNCTION("""COMPUTED_VALUE"""),119.51)</f>
        <v>119.51</v>
      </c>
      <c r="G125" s="4">
        <f>IFERROR(__xludf.DUMMYFUNCTION("""COMPUTED_VALUE"""),24430.35)</f>
        <v>24430.35</v>
      </c>
    </row>
    <row r="126">
      <c r="A126" s="5">
        <f>IFERROR(__xludf.DUMMYFUNCTION("""COMPUTED_VALUE"""),46210.64583333333)</f>
        <v>46210.64583</v>
      </c>
      <c r="B126" s="4">
        <f>IFERROR(__xludf.DUMMYFUNCTION("""COMPUTED_VALUE"""),244.18)</f>
        <v>244.18</v>
      </c>
      <c r="C126" s="4">
        <f>IFERROR(__xludf.DUMMYFUNCTION("""COMPUTED_VALUE"""),4400.3)</f>
        <v>4400.3</v>
      </c>
      <c r="D126" s="4">
        <f>IFERROR(__xludf.DUMMYFUNCTION("""COMPUTED_VALUE"""),2096.1)</f>
        <v>2096.1</v>
      </c>
      <c r="E126" s="4">
        <f>IFERROR(__xludf.DUMMYFUNCTION("""COMPUTED_VALUE"""),313.95)</f>
        <v>313.95</v>
      </c>
      <c r="F126" s="4">
        <f>IFERROR(__xludf.DUMMYFUNCTION("""COMPUTED_VALUE"""),118.58)</f>
        <v>118.58</v>
      </c>
      <c r="G126" s="4">
        <f>IFERROR(__xludf.DUMMYFUNCTION("""COMPUTED_VALUE"""),24398.7)</f>
        <v>24398.7</v>
      </c>
    </row>
    <row r="127">
      <c r="A127" s="5">
        <f>IFERROR(__xludf.DUMMYFUNCTION("""COMPUTED_VALUE"""),46211.64583333333)</f>
        <v>46211.64583</v>
      </c>
      <c r="B127" s="4">
        <f>IFERROR(__xludf.DUMMYFUNCTION("""COMPUTED_VALUE"""),247.0)</f>
        <v>247</v>
      </c>
      <c r="C127" s="4">
        <f>IFERROR(__xludf.DUMMYFUNCTION("""COMPUTED_VALUE"""),4364.7)</f>
        <v>4364.7</v>
      </c>
      <c r="D127" s="4">
        <f>IFERROR(__xludf.DUMMYFUNCTION("""COMPUTED_VALUE"""),2057.5)</f>
        <v>2057.5</v>
      </c>
      <c r="E127" s="4">
        <f>IFERROR(__xludf.DUMMYFUNCTION("""COMPUTED_VALUE"""),303.55)</f>
        <v>303.55</v>
      </c>
      <c r="F127" s="4">
        <f>IFERROR(__xludf.DUMMYFUNCTION("""COMPUTED_VALUE"""),116.96)</f>
        <v>116.96</v>
      </c>
      <c r="G127" s="4">
        <f>IFERROR(__xludf.DUMMYFUNCTION("""COMPUTED_VALUE"""),23882.05)</f>
        <v>23882.05</v>
      </c>
    </row>
    <row r="128">
      <c r="A128" s="5">
        <f>IFERROR(__xludf.DUMMYFUNCTION("""COMPUTED_VALUE"""),46212.64583333333)</f>
        <v>46212.64583</v>
      </c>
      <c r="B128" s="4">
        <f>IFERROR(__xludf.DUMMYFUNCTION("""COMPUTED_VALUE"""),243.65)</f>
        <v>243.65</v>
      </c>
      <c r="C128" s="4">
        <f>IFERROR(__xludf.DUMMYFUNCTION("""COMPUTED_VALUE"""),4378.9)</f>
        <v>4378.9</v>
      </c>
      <c r="D128" s="4">
        <f>IFERROR(__xludf.DUMMYFUNCTION("""COMPUTED_VALUE"""),2049.5)</f>
        <v>2049.5</v>
      </c>
      <c r="E128" s="4">
        <f>IFERROR(__xludf.DUMMYFUNCTION("""COMPUTED_VALUE"""),308.2)</f>
        <v>308.2</v>
      </c>
      <c r="F128" s="4">
        <f>IFERROR(__xludf.DUMMYFUNCTION("""COMPUTED_VALUE"""),118.42)</f>
        <v>118.42</v>
      </c>
      <c r="G128" s="4">
        <f>IFERROR(__xludf.DUMMYFUNCTION("""COMPUTED_VALUE"""),23962.8)</f>
        <v>23962.8</v>
      </c>
    </row>
    <row r="129">
      <c r="A129" s="5">
        <f>IFERROR(__xludf.DUMMYFUNCTION("""COMPUTED_VALUE"""),46213.64583333333)</f>
        <v>46213.64583</v>
      </c>
      <c r="B129" s="4">
        <f>IFERROR(__xludf.DUMMYFUNCTION("""COMPUTED_VALUE"""),244.96)</f>
        <v>244.96</v>
      </c>
      <c r="C129" s="4">
        <f>IFERROR(__xludf.DUMMYFUNCTION("""COMPUTED_VALUE"""),4506.8)</f>
        <v>4506.8</v>
      </c>
      <c r="D129" s="4">
        <f>IFERROR(__xludf.DUMMYFUNCTION("""COMPUTED_VALUE"""),2069.0)</f>
        <v>2069</v>
      </c>
      <c r="E129" s="4">
        <f>IFERROR(__xludf.DUMMYFUNCTION("""COMPUTED_VALUE"""),309.75)</f>
        <v>309.75</v>
      </c>
      <c r="F129" s="4">
        <f>IFERROR(__xludf.DUMMYFUNCTION("""COMPUTED_VALUE"""),118.14)</f>
        <v>118.14</v>
      </c>
      <c r="G129" s="4">
        <f>IFERROR(__xludf.DUMMYFUNCTION("""COMPUTED_VALUE"""),24206.9)</f>
        <v>24206.9</v>
      </c>
    </row>
    <row r="130">
      <c r="A130" s="5">
        <f>IFERROR(__xludf.DUMMYFUNCTION("""COMPUTED_VALUE"""),46216.64583333333)</f>
        <v>46216.64583</v>
      </c>
      <c r="B130" s="4">
        <f>IFERROR(__xludf.DUMMYFUNCTION("""COMPUTED_VALUE"""),248.45)</f>
        <v>248.45</v>
      </c>
      <c r="C130" s="4">
        <f>IFERROR(__xludf.DUMMYFUNCTION("""COMPUTED_VALUE"""),4511.3)</f>
        <v>4511.3</v>
      </c>
      <c r="D130" s="4">
        <f>IFERROR(__xludf.DUMMYFUNCTION("""COMPUTED_VALUE"""),2181.5)</f>
        <v>2181.5</v>
      </c>
      <c r="E130" s="4">
        <f>IFERROR(__xludf.DUMMYFUNCTION("""COMPUTED_VALUE"""),307.55)</f>
        <v>307.55</v>
      </c>
      <c r="F130" s="4">
        <f>IFERROR(__xludf.DUMMYFUNCTION("""COMPUTED_VALUE"""),116.95)</f>
        <v>116.95</v>
      </c>
      <c r="G130" s="4">
        <f>IFERROR(__xludf.DUMMYFUNCTION("""COMPUTED_VALUE"""),24211.0)</f>
        <v>24211</v>
      </c>
    </row>
    <row r="131">
      <c r="A131" s="5">
        <f>IFERROR(__xludf.DUMMYFUNCTION("""COMPUTED_VALUE"""),46217.64583333333)</f>
        <v>46217.64583</v>
      </c>
      <c r="B131" s="4">
        <f>IFERROR(__xludf.DUMMYFUNCTION("""COMPUTED_VALUE"""),248.9)</f>
        <v>248.9</v>
      </c>
      <c r="C131" s="4">
        <f>IFERROR(__xludf.DUMMYFUNCTION("""COMPUTED_VALUE"""),4442.4)</f>
        <v>4442.4</v>
      </c>
      <c r="D131" s="4">
        <f>IFERROR(__xludf.DUMMYFUNCTION("""COMPUTED_VALUE"""),2200.6)</f>
        <v>2200.6</v>
      </c>
      <c r="E131" s="4">
        <f>IFERROR(__xludf.DUMMYFUNCTION("""COMPUTED_VALUE"""),305.35)</f>
        <v>305.35</v>
      </c>
      <c r="F131" s="4">
        <f>IFERROR(__xludf.DUMMYFUNCTION("""COMPUTED_VALUE"""),115.98)</f>
        <v>115.98</v>
      </c>
      <c r="G131" s="4">
        <f>IFERROR(__xludf.DUMMYFUNCTION("""COMPUTED_VALUE"""),24052.05)</f>
        <v>24052.05</v>
      </c>
    </row>
    <row r="132">
      <c r="A132" s="5">
        <f>IFERROR(__xludf.DUMMYFUNCTION("""COMPUTED_VALUE"""),46218.64583333333)</f>
        <v>46218.64583</v>
      </c>
      <c r="B132" s="4">
        <f>IFERROR(__xludf.DUMMYFUNCTION("""COMPUTED_VALUE"""),247.18)</f>
        <v>247.18</v>
      </c>
      <c r="C132" s="4">
        <f>IFERROR(__xludf.DUMMYFUNCTION("""COMPUTED_VALUE"""),4420.5)</f>
        <v>4420.5</v>
      </c>
      <c r="D132" s="4">
        <f>IFERROR(__xludf.DUMMYFUNCTION("""COMPUTED_VALUE"""),2189.2)</f>
        <v>2189.2</v>
      </c>
      <c r="E132" s="4">
        <f>IFERROR(__xludf.DUMMYFUNCTION("""COMPUTED_VALUE"""),309.6)</f>
        <v>309.6</v>
      </c>
      <c r="F132" s="4">
        <f>IFERROR(__xludf.DUMMYFUNCTION("""COMPUTED_VALUE"""),116.39)</f>
        <v>116.39</v>
      </c>
      <c r="G132" s="4">
        <f>IFERROR(__xludf.DUMMYFUNCTION("""COMPUTED_VALUE"""),24078.5)</f>
        <v>24078.5</v>
      </c>
    </row>
    <row r="133">
      <c r="A133" s="5">
        <f>IFERROR(__xludf.DUMMYFUNCTION("""COMPUTED_VALUE"""),46219.64583333333)</f>
        <v>46219.64583</v>
      </c>
      <c r="B133" s="4">
        <f>IFERROR(__xludf.DUMMYFUNCTION("""COMPUTED_VALUE"""),246.75)</f>
        <v>246.75</v>
      </c>
      <c r="C133" s="4">
        <f>IFERROR(__xludf.DUMMYFUNCTION("""COMPUTED_VALUE"""),4433.8)</f>
        <v>4433.8</v>
      </c>
      <c r="D133" s="4">
        <f>IFERROR(__xludf.DUMMYFUNCTION("""COMPUTED_VALUE"""),2201.0)</f>
        <v>2201</v>
      </c>
      <c r="E133" s="4">
        <f>IFERROR(__xludf.DUMMYFUNCTION("""COMPUTED_VALUE"""),312.0)</f>
        <v>312</v>
      </c>
      <c r="F133" s="4">
        <f>IFERROR(__xludf.DUMMYFUNCTION("""COMPUTED_VALUE"""),116.47)</f>
        <v>116.47</v>
      </c>
      <c r="G133" s="4">
        <f>IFERROR(__xludf.DUMMYFUNCTION("""COMPUTED_VALUE"""),24072.75)</f>
        <v>24072.75</v>
      </c>
    </row>
    <row r="134">
      <c r="A134" s="5">
        <f>IFERROR(__xludf.DUMMYFUNCTION("""COMPUTED_VALUE"""),46220.64583333333)</f>
        <v>46220.64583</v>
      </c>
      <c r="B134" s="4">
        <f>IFERROR(__xludf.DUMMYFUNCTION("""COMPUTED_VALUE"""),247.29)</f>
        <v>247.29</v>
      </c>
      <c r="C134" s="4">
        <f>IFERROR(__xludf.DUMMYFUNCTION("""COMPUTED_VALUE"""),4500.7)</f>
        <v>4500.7</v>
      </c>
      <c r="D134" s="4">
        <f>IFERROR(__xludf.DUMMYFUNCTION("""COMPUTED_VALUE"""),2269.0)</f>
        <v>2269</v>
      </c>
      <c r="E134" s="4">
        <f>IFERROR(__xludf.DUMMYFUNCTION("""COMPUTED_VALUE"""),315.55)</f>
        <v>315.55</v>
      </c>
      <c r="F134" s="4">
        <f>IFERROR(__xludf.DUMMYFUNCTION("""COMPUTED_VALUE"""),115.79)</f>
        <v>115.79</v>
      </c>
      <c r="G134" s="4">
        <f>IFERROR(__xludf.DUMMYFUNCTION("""COMPUTED_VALUE"""),24334.3)</f>
        <v>24334.3</v>
      </c>
    </row>
    <row r="135">
      <c r="A135" s="5">
        <f>IFERROR(__xludf.DUMMYFUNCTION("""COMPUTED_VALUE"""),46223.64583333333)</f>
        <v>46223.64583</v>
      </c>
      <c r="B135" s="4">
        <f>IFERROR(__xludf.DUMMYFUNCTION("""COMPUTED_VALUE"""),249.58)</f>
        <v>249.58</v>
      </c>
      <c r="C135" s="4">
        <f>IFERROR(__xludf.DUMMYFUNCTION("""COMPUTED_VALUE"""),4491.0)</f>
        <v>4491</v>
      </c>
      <c r="D135" s="4">
        <f>IFERROR(__xludf.DUMMYFUNCTION("""COMPUTED_VALUE"""),2251.1)</f>
        <v>2251.1</v>
      </c>
      <c r="E135" s="4">
        <f>IFERROR(__xludf.DUMMYFUNCTION("""COMPUTED_VALUE"""),317.6)</f>
        <v>317.6</v>
      </c>
      <c r="F135" s="4">
        <f>IFERROR(__xludf.DUMMYFUNCTION("""COMPUTED_VALUE"""),116.84)</f>
        <v>116.84</v>
      </c>
      <c r="G135" s="4">
        <f>IFERROR(__xludf.DUMMYFUNCTION("""COMPUTED_VALUE"""),24238.5)</f>
        <v>24238.5</v>
      </c>
    </row>
    <row r="136">
      <c r="A136" s="5">
        <f>IFERROR(__xludf.DUMMYFUNCTION("""COMPUTED_VALUE"""),46224.64583333333)</f>
        <v>46224.64583</v>
      </c>
      <c r="B136" s="4">
        <f>IFERROR(__xludf.DUMMYFUNCTION("""COMPUTED_VALUE"""),249.89)</f>
        <v>249.89</v>
      </c>
      <c r="C136" s="4">
        <f>IFERROR(__xludf.DUMMYFUNCTION("""COMPUTED_VALUE"""),4581.7)</f>
        <v>4581.7</v>
      </c>
      <c r="D136" s="4">
        <f>IFERROR(__xludf.DUMMYFUNCTION("""COMPUTED_VALUE"""),2221.1)</f>
        <v>2221.1</v>
      </c>
      <c r="E136" s="4">
        <f>IFERROR(__xludf.DUMMYFUNCTION("""COMPUTED_VALUE"""),319.35)</f>
        <v>319.35</v>
      </c>
      <c r="F136" s="4">
        <f>IFERROR(__xludf.DUMMYFUNCTION("""COMPUTED_VALUE"""),117.73)</f>
        <v>117.73</v>
      </c>
      <c r="G136" s="4">
        <f>IFERROR(__xludf.DUMMYFUNCTION("""COMPUTED_VALUE"""),24187.7)</f>
        <v>24187.7</v>
      </c>
    </row>
    <row r="137">
      <c r="A137" s="5">
        <f>IFERROR(__xludf.DUMMYFUNCTION("""COMPUTED_VALUE"""),46225.64583333333)</f>
        <v>46225.64583</v>
      </c>
      <c r="B137" s="4">
        <f>IFERROR(__xludf.DUMMYFUNCTION("""COMPUTED_VALUE"""),251.9)</f>
        <v>251.9</v>
      </c>
      <c r="C137" s="4">
        <f>IFERROR(__xludf.DUMMYFUNCTION("""COMPUTED_VALUE"""),4574.8)</f>
        <v>4574.8</v>
      </c>
      <c r="D137" s="4">
        <f>IFERROR(__xludf.DUMMYFUNCTION("""COMPUTED_VALUE"""),2208.3)</f>
        <v>2208.3</v>
      </c>
      <c r="E137" s="4">
        <f>IFERROR(__xludf.DUMMYFUNCTION("""COMPUTED_VALUE"""),314.0)</f>
        <v>314</v>
      </c>
      <c r="F137" s="4">
        <f>IFERROR(__xludf.DUMMYFUNCTION("""COMPUTED_VALUE"""),119.14)</f>
        <v>119.14</v>
      </c>
      <c r="G137" s="4">
        <f>IFERROR(__xludf.DUMMYFUNCTION("""COMPUTED_VALUE"""),23996.25)</f>
        <v>23996.25</v>
      </c>
    </row>
    <row r="138">
      <c r="A138" s="5">
        <f>IFERROR(__xludf.DUMMYFUNCTION("""COMPUTED_VALUE"""),46226.64583333333)</f>
        <v>46226.64583</v>
      </c>
      <c r="B138" s="4">
        <f>IFERROR(__xludf.DUMMYFUNCTION("""COMPUTED_VALUE"""),252.37)</f>
        <v>252.37</v>
      </c>
      <c r="C138" s="4">
        <f>IFERROR(__xludf.DUMMYFUNCTION("""COMPUTED_VALUE"""),4592.5)</f>
        <v>4592.5</v>
      </c>
      <c r="D138" s="4">
        <f>IFERROR(__xludf.DUMMYFUNCTION("""COMPUTED_VALUE"""),2242.9)</f>
        <v>2242.9</v>
      </c>
      <c r="E138" s="4">
        <f>IFERROR(__xludf.DUMMYFUNCTION("""COMPUTED_VALUE"""),309.85)</f>
        <v>309.85</v>
      </c>
      <c r="F138" s="4">
        <f>IFERROR(__xludf.DUMMYFUNCTION("""COMPUTED_VALUE"""),118.69)</f>
        <v>118.69</v>
      </c>
      <c r="G138" s="4">
        <f>IFERROR(__xludf.DUMMYFUNCTION("""COMPUTED_VALUE"""),23869.6)</f>
        <v>23869.6</v>
      </c>
    </row>
    <row r="139">
      <c r="A139" s="5">
        <f>IFERROR(__xludf.DUMMYFUNCTION("""COMPUTED_VALUE"""),46227.64583333333)</f>
        <v>46227.64583</v>
      </c>
      <c r="B139" s="4">
        <f>IFERROR(__xludf.DUMMYFUNCTION("""COMPUTED_VALUE"""),248.76)</f>
        <v>248.76</v>
      </c>
      <c r="C139" s="4">
        <f>IFERROR(__xludf.DUMMYFUNCTION("""COMPUTED_VALUE"""),4573.4)</f>
        <v>4573.4</v>
      </c>
      <c r="D139" s="4">
        <f>IFERROR(__xludf.DUMMYFUNCTION("""COMPUTED_VALUE"""),2254.3)</f>
        <v>2254.3</v>
      </c>
      <c r="E139" s="4">
        <f>IFERROR(__xludf.DUMMYFUNCTION("""COMPUTED_VALUE"""),310.15)</f>
        <v>310.15</v>
      </c>
      <c r="F139" s="4">
        <f>IFERROR(__xludf.DUMMYFUNCTION("""COMPUTED_VALUE"""),117.91)</f>
        <v>117.91</v>
      </c>
      <c r="G139" s="4">
        <f>IFERROR(__xludf.DUMMYFUNCTION("""COMPUTED_VALUE"""),23767.45)</f>
        <v>23767.45</v>
      </c>
    </row>
    <row r="140">
      <c r="A140" s="5">
        <f>IFERROR(__xludf.DUMMYFUNCTION("""COMPUTED_VALUE"""),46230.64583333333)</f>
        <v>46230.64583</v>
      </c>
      <c r="B140" s="4">
        <f>IFERROR(__xludf.DUMMYFUNCTION("""COMPUTED_VALUE"""),238.56)</f>
        <v>238.56</v>
      </c>
      <c r="C140" s="4">
        <f>IFERROR(__xludf.DUMMYFUNCTION("""COMPUTED_VALUE"""),4619.0)</f>
        <v>4619</v>
      </c>
      <c r="D140" s="4">
        <f>IFERROR(__xludf.DUMMYFUNCTION("""COMPUTED_VALUE"""),2295.6)</f>
        <v>2295.6</v>
      </c>
      <c r="E140" s="4">
        <f>IFERROR(__xludf.DUMMYFUNCTION("""COMPUTED_VALUE"""),316.25)</f>
        <v>316.25</v>
      </c>
      <c r="F140" s="4">
        <f>IFERROR(__xludf.DUMMYFUNCTION("""COMPUTED_VALUE"""),118.62)</f>
        <v>118.62</v>
      </c>
      <c r="G140" s="4">
        <f>IFERROR(__xludf.DUMMYFUNCTION("""COMPUTED_VALUE"""),23995.95)</f>
        <v>23995.95</v>
      </c>
    </row>
    <row r="141">
      <c r="A141" s="5">
        <f>IFERROR(__xludf.DUMMYFUNCTION("""COMPUTED_VALUE"""),46231.64583333333)</f>
        <v>46231.64583</v>
      </c>
      <c r="B141" s="4">
        <f>IFERROR(__xludf.DUMMYFUNCTION("""COMPUTED_VALUE"""),238.91)</f>
        <v>238.91</v>
      </c>
      <c r="C141" s="4">
        <f>IFERROR(__xludf.DUMMYFUNCTION("""COMPUTED_VALUE"""),4600.1)</f>
        <v>4600.1</v>
      </c>
      <c r="D141" s="4">
        <f>IFERROR(__xludf.DUMMYFUNCTION("""COMPUTED_VALUE"""),2398.0)</f>
        <v>2398</v>
      </c>
      <c r="E141" s="4">
        <f>IFERROR(__xludf.DUMMYFUNCTION("""COMPUTED_VALUE"""),320.05)</f>
        <v>320.05</v>
      </c>
      <c r="F141" s="4">
        <f>IFERROR(__xludf.DUMMYFUNCTION("""COMPUTED_VALUE"""),116.83)</f>
        <v>116.83</v>
      </c>
      <c r="G141" s="4">
        <f>IFERROR(__xludf.DUMMYFUNCTION("""COMPUTED_VALUE"""),23985.35)</f>
        <v>23985.35</v>
      </c>
    </row>
    <row r="142">
      <c r="A142" s="5">
        <f>IFERROR(__xludf.DUMMYFUNCTION("""COMPUTED_VALUE"""),46232.64583333333)</f>
        <v>46232.64583</v>
      </c>
      <c r="B142" s="4">
        <f>IFERROR(__xludf.DUMMYFUNCTION("""COMPUTED_VALUE"""),238.31)</f>
        <v>238.31</v>
      </c>
      <c r="C142" s="4">
        <f>IFERROR(__xludf.DUMMYFUNCTION("""COMPUTED_VALUE"""),4592.0)</f>
        <v>4592</v>
      </c>
      <c r="D142" s="4">
        <f>IFERROR(__xludf.DUMMYFUNCTION("""COMPUTED_VALUE"""),2446.6)</f>
        <v>2446.6</v>
      </c>
      <c r="E142" s="4">
        <f>IFERROR(__xludf.DUMMYFUNCTION("""COMPUTED_VALUE"""),317.4)</f>
        <v>317.4</v>
      </c>
      <c r="F142" s="4">
        <f>IFERROR(__xludf.DUMMYFUNCTION("""COMPUTED_VALUE"""),116.85)</f>
        <v>116.85</v>
      </c>
      <c r="G142" s="4">
        <f>IFERROR(__xludf.DUMMYFUNCTION("""COMPUTED_VALUE"""),24250.2)</f>
        <v>24250.2</v>
      </c>
    </row>
    <row r="143">
      <c r="A143" s="5">
        <f>IFERROR(__xludf.DUMMYFUNCTION("""COMPUTED_VALUE"""),46233.64583333333)</f>
        <v>46233.64583</v>
      </c>
      <c r="B143" s="4">
        <f>IFERROR(__xludf.DUMMYFUNCTION("""COMPUTED_VALUE"""),241.59)</f>
        <v>241.59</v>
      </c>
      <c r="C143" s="4">
        <f>IFERROR(__xludf.DUMMYFUNCTION("""COMPUTED_VALUE"""),4581.4)</f>
        <v>4581.4</v>
      </c>
      <c r="D143" s="4">
        <f>IFERROR(__xludf.DUMMYFUNCTION("""COMPUTED_VALUE"""),2431.8)</f>
        <v>2431.8</v>
      </c>
      <c r="E143" s="4">
        <f>IFERROR(__xludf.DUMMYFUNCTION("""COMPUTED_VALUE"""),315.8)</f>
        <v>315.8</v>
      </c>
      <c r="F143" s="4">
        <f>IFERROR(__xludf.DUMMYFUNCTION("""COMPUTED_VALUE"""),117.37)</f>
        <v>117.37</v>
      </c>
      <c r="G143" s="4">
        <f>IFERROR(__xludf.DUMMYFUNCTION("""COMPUTED_VALUE"""),24317.15)</f>
        <v>24317.15</v>
      </c>
    </row>
    <row r="144">
      <c r="A144" s="5">
        <f>IFERROR(__xludf.DUMMYFUNCTION("""COMPUTED_VALUE"""),46234.64583333333)</f>
        <v>46234.64583</v>
      </c>
      <c r="B144" s="4">
        <f>IFERROR(__xludf.DUMMYFUNCTION("""COMPUTED_VALUE"""),242.53)</f>
        <v>242.53</v>
      </c>
      <c r="C144" s="4">
        <f>IFERROR(__xludf.DUMMYFUNCTION("""COMPUTED_VALUE"""),4646.5)</f>
        <v>4646.5</v>
      </c>
      <c r="D144" s="4">
        <f>IFERROR(__xludf.DUMMYFUNCTION("""COMPUTED_VALUE"""),2365.6)</f>
        <v>2365.6</v>
      </c>
      <c r="E144" s="4">
        <f>IFERROR(__xludf.DUMMYFUNCTION("""COMPUTED_VALUE"""),319.75)</f>
        <v>319.75</v>
      </c>
      <c r="F144" s="4">
        <f>IFERROR(__xludf.DUMMYFUNCTION("""COMPUTED_VALUE"""),117.11)</f>
        <v>117.11</v>
      </c>
      <c r="G144" s="4">
        <f>IFERROR(__xludf.DUMMYFUNCTION("""COMPUTED_VALUE"""),24383.6)</f>
        <v>24383.6</v>
      </c>
    </row>
    <row r="145">
      <c r="A145" s="5">
        <f>IFERROR(__xludf.DUMMYFUNCTION("""COMPUTED_VALUE"""),46237.64583333333)</f>
        <v>46237.64583</v>
      </c>
      <c r="B145" s="4">
        <f>IFERROR(__xludf.DUMMYFUNCTION("""COMPUTED_VALUE"""),242.0)</f>
        <v>242</v>
      </c>
      <c r="C145" s="4">
        <f>IFERROR(__xludf.DUMMYFUNCTION("""COMPUTED_VALUE"""),4690.0)</f>
        <v>4690</v>
      </c>
      <c r="D145" s="4">
        <f>IFERROR(__xludf.DUMMYFUNCTION("""COMPUTED_VALUE"""),2473.7)</f>
        <v>2473.7</v>
      </c>
      <c r="E145" s="4">
        <f>IFERROR(__xludf.DUMMYFUNCTION("""COMPUTED_VALUE"""),329.95)</f>
        <v>329.95</v>
      </c>
      <c r="F145" s="4">
        <f>IFERROR(__xludf.DUMMYFUNCTION("""COMPUTED_VALUE"""),117.26)</f>
        <v>117.26</v>
      </c>
      <c r="G145" s="4">
        <f>IFERROR(__xludf.DUMMYFUNCTION("""COMPUTED_VALUE"""),24774.3)</f>
        <v>24774.3</v>
      </c>
    </row>
    <row r="146">
      <c r="A146" s="5">
        <f>IFERROR(__xludf.DUMMYFUNCTION("""COMPUTED_VALUE"""),46238.64583333333)</f>
        <v>46238.64583</v>
      </c>
      <c r="B146" s="4">
        <f>IFERROR(__xludf.DUMMYFUNCTION("""COMPUTED_VALUE"""),242.0)</f>
        <v>242</v>
      </c>
      <c r="C146" s="4">
        <f>IFERROR(__xludf.DUMMYFUNCTION("""COMPUTED_VALUE"""),4635.0)</f>
        <v>4635</v>
      </c>
      <c r="D146" s="4">
        <f>IFERROR(__xludf.DUMMYFUNCTION("""COMPUTED_VALUE"""),2460.0)</f>
        <v>2460</v>
      </c>
      <c r="E146" s="4">
        <f>IFERROR(__xludf.DUMMYFUNCTION("""COMPUTED_VALUE"""),324.0)</f>
        <v>324</v>
      </c>
      <c r="F146" s="4">
        <f>IFERROR(__xludf.DUMMYFUNCTION("""COMPUTED_VALUE"""),117.15)</f>
        <v>117.15</v>
      </c>
      <c r="G146" s="4">
        <f>IFERROR(__xludf.DUMMYFUNCTION("""COMPUTED_VALUE"""),24614.9)</f>
        <v>24614.9</v>
      </c>
    </row>
    <row r="147">
      <c r="A147" s="5">
        <f>IFERROR(__xludf.DUMMYFUNCTION("""COMPUTED_VALUE"""),46239.64583333333)</f>
        <v>46239.64583</v>
      </c>
      <c r="B147" s="4">
        <f>IFERROR(__xludf.DUMMYFUNCTION("""COMPUTED_VALUE"""),240.2)</f>
        <v>240.2</v>
      </c>
      <c r="C147" s="4">
        <f>IFERROR(__xludf.DUMMYFUNCTION("""COMPUTED_VALUE"""),4645.0)</f>
        <v>4645</v>
      </c>
      <c r="D147" s="4">
        <f>IFERROR(__xludf.DUMMYFUNCTION("""COMPUTED_VALUE"""),2413.0)</f>
        <v>2413</v>
      </c>
      <c r="E147" s="4">
        <f>IFERROR(__xludf.DUMMYFUNCTION("""COMPUTED_VALUE"""),326.25)</f>
        <v>326.25</v>
      </c>
      <c r="F147" s="4">
        <f>IFERROR(__xludf.DUMMYFUNCTION("""COMPUTED_VALUE"""),119.39)</f>
        <v>119.39</v>
      </c>
      <c r="G147" s="4">
        <f>IFERROR(__xludf.DUMMYFUNCTION("""COMPUTED_VALUE"""),24624.65)</f>
        <v>24624.65</v>
      </c>
    </row>
    <row r="148">
      <c r="A148" s="5">
        <f>IFERROR(__xludf.DUMMYFUNCTION("""COMPUTED_VALUE"""),46240.64583333333)</f>
        <v>46240.64583</v>
      </c>
      <c r="B148" s="4">
        <f>IFERROR(__xludf.DUMMYFUNCTION("""COMPUTED_VALUE"""),237.8)</f>
        <v>237.8</v>
      </c>
      <c r="C148" s="4">
        <f>IFERROR(__xludf.DUMMYFUNCTION("""COMPUTED_VALUE"""),4920.0)</f>
        <v>4920</v>
      </c>
      <c r="D148" s="4">
        <f>IFERROR(__xludf.DUMMYFUNCTION("""COMPUTED_VALUE"""),2373.0)</f>
        <v>2373</v>
      </c>
      <c r="E148" s="4">
        <f>IFERROR(__xludf.DUMMYFUNCTION("""COMPUTED_VALUE"""),323.7)</f>
        <v>323.7</v>
      </c>
      <c r="F148" s="4">
        <f>IFERROR(__xludf.DUMMYFUNCTION("""COMPUTED_VALUE"""),122.48)</f>
        <v>122.48</v>
      </c>
      <c r="G148" s="4">
        <f>IFERROR(__xludf.DUMMYFUNCTION("""COMPUTED_VALUE"""),24636.0)</f>
        <v>24636</v>
      </c>
    </row>
    <row r="149">
      <c r="A149" s="5">
        <f>IFERROR(__xludf.DUMMYFUNCTION("""COMPUTED_VALUE"""),46241.64583333333)</f>
        <v>46241.64583</v>
      </c>
      <c r="B149" s="4">
        <f>IFERROR(__xludf.DUMMYFUNCTION("""COMPUTED_VALUE"""),238.85)</f>
        <v>238.85</v>
      </c>
      <c r="C149" s="4">
        <f>IFERROR(__xludf.DUMMYFUNCTION("""COMPUTED_VALUE"""),4910.0)</f>
        <v>4910</v>
      </c>
      <c r="D149" s="4">
        <f>IFERROR(__xludf.DUMMYFUNCTION("""COMPUTED_VALUE"""),2452.7)</f>
        <v>2452.7</v>
      </c>
      <c r="E149" s="4">
        <f>IFERROR(__xludf.DUMMYFUNCTION("""COMPUTED_VALUE"""),321.0)</f>
        <v>321</v>
      </c>
      <c r="F149" s="4">
        <f>IFERROR(__xludf.DUMMYFUNCTION("""COMPUTED_VALUE"""),123.4)</f>
        <v>123.4</v>
      </c>
      <c r="G149" s="4">
        <f>IFERROR(__xludf.DUMMYFUNCTION("""COMPUTED_VALUE"""),24570.65)</f>
        <v>24570.65</v>
      </c>
    </row>
    <row r="150">
      <c r="A150" s="5">
        <f>IFERROR(__xludf.DUMMYFUNCTION("""COMPUTED_VALUE"""),46244.64583333333)</f>
        <v>46244.64583</v>
      </c>
      <c r="B150" s="4">
        <f>IFERROR(__xludf.DUMMYFUNCTION("""COMPUTED_VALUE"""),239.84)</f>
        <v>239.84</v>
      </c>
      <c r="C150" s="4">
        <f>IFERROR(__xludf.DUMMYFUNCTION("""COMPUTED_VALUE"""),4928.0)</f>
        <v>4928</v>
      </c>
      <c r="D150" s="4">
        <f>IFERROR(__xludf.DUMMYFUNCTION("""COMPUTED_VALUE"""),2425.7)</f>
        <v>2425.7</v>
      </c>
      <c r="E150" s="4">
        <f>IFERROR(__xludf.DUMMYFUNCTION("""COMPUTED_VALUE"""),318.5)</f>
        <v>318.5</v>
      </c>
      <c r="F150" s="4">
        <f>IFERROR(__xludf.DUMMYFUNCTION("""COMPUTED_VALUE"""),124.58)</f>
        <v>124.58</v>
      </c>
      <c r="G150" s="4">
        <f>IFERROR(__xludf.DUMMYFUNCTION("""COMPUTED_VALUE"""),24583.8)</f>
        <v>24583.8</v>
      </c>
    </row>
    <row r="151">
      <c r="A151" s="5">
        <f>IFERROR(__xludf.DUMMYFUNCTION("""COMPUTED_VALUE"""),46245.64583333333)</f>
        <v>46245.64583</v>
      </c>
      <c r="B151" s="4">
        <f>IFERROR(__xludf.DUMMYFUNCTION("""COMPUTED_VALUE"""),239.45)</f>
        <v>239.45</v>
      </c>
      <c r="C151" s="4">
        <f>IFERROR(__xludf.DUMMYFUNCTION("""COMPUTED_VALUE"""),4909.0)</f>
        <v>4909</v>
      </c>
      <c r="D151" s="4">
        <f>IFERROR(__xludf.DUMMYFUNCTION("""COMPUTED_VALUE"""),2445.7)</f>
        <v>2445.7</v>
      </c>
      <c r="E151" s="4">
        <f>IFERROR(__xludf.DUMMYFUNCTION("""COMPUTED_VALUE"""),317.8)</f>
        <v>317.8</v>
      </c>
      <c r="F151" s="4">
        <f>IFERROR(__xludf.DUMMYFUNCTION("""COMPUTED_VALUE"""),125.52)</f>
        <v>125.52</v>
      </c>
      <c r="G151" s="4">
        <f>IFERROR(__xludf.DUMMYFUNCTION("""COMPUTED_VALUE"""),24471.7)</f>
        <v>24471.7</v>
      </c>
    </row>
    <row r="152">
      <c r="A152" s="5">
        <f>IFERROR(__xludf.DUMMYFUNCTION("""COMPUTED_VALUE"""),46246.64583333333)</f>
        <v>46246.64583</v>
      </c>
      <c r="B152" s="4">
        <f>IFERROR(__xludf.DUMMYFUNCTION("""COMPUTED_VALUE"""),239.05)</f>
        <v>239.05</v>
      </c>
      <c r="C152" s="4">
        <f>IFERROR(__xludf.DUMMYFUNCTION("""COMPUTED_VALUE"""),4995.0)</f>
        <v>4995</v>
      </c>
      <c r="D152" s="4">
        <f>IFERROR(__xludf.DUMMYFUNCTION("""COMPUTED_VALUE"""),2349.7)</f>
        <v>2349.7</v>
      </c>
      <c r="E152" s="4">
        <f>IFERROR(__xludf.DUMMYFUNCTION("""COMPUTED_VALUE"""),317.0)</f>
        <v>317</v>
      </c>
      <c r="F152" s="4">
        <f>IFERROR(__xludf.DUMMYFUNCTION("""COMPUTED_VALUE"""),126.45)</f>
        <v>126.45</v>
      </c>
      <c r="G152" s="4">
        <f>IFERROR(__xludf.DUMMYFUNCTION("""COMPUTED_VALUE"""),24435.95)</f>
        <v>24435.95</v>
      </c>
    </row>
    <row r="153">
      <c r="A153" s="5">
        <f>IFERROR(__xludf.DUMMYFUNCTION("""COMPUTED_VALUE"""),46247.64583333333)</f>
        <v>46247.64583</v>
      </c>
      <c r="B153" s="4">
        <f>IFERROR(__xludf.DUMMYFUNCTION("""COMPUTED_VALUE"""),239.9)</f>
        <v>239.9</v>
      </c>
      <c r="C153" s="4">
        <f>IFERROR(__xludf.DUMMYFUNCTION("""COMPUTED_VALUE"""),4945.0)</f>
        <v>4945</v>
      </c>
      <c r="D153" s="4">
        <f>IFERROR(__xludf.DUMMYFUNCTION("""COMPUTED_VALUE"""),2375.0)</f>
        <v>2375</v>
      </c>
      <c r="E153" s="4">
        <f>IFERROR(__xludf.DUMMYFUNCTION("""COMPUTED_VALUE"""),315.0)</f>
        <v>315</v>
      </c>
      <c r="F153" s="4">
        <f>IFERROR(__xludf.DUMMYFUNCTION("""COMPUTED_VALUE"""),125.48)</f>
        <v>125.48</v>
      </c>
      <c r="G153" s="4">
        <f>IFERROR(__xludf.DUMMYFUNCTION("""COMPUTED_VALUE"""),24395.85)</f>
        <v>24395.85</v>
      </c>
    </row>
    <row r="154">
      <c r="A154" s="5">
        <f>IFERROR(__xludf.DUMMYFUNCTION("""COMPUTED_VALUE"""),46248.64583333333)</f>
        <v>46248.64583</v>
      </c>
      <c r="B154" s="4">
        <f>IFERROR(__xludf.DUMMYFUNCTION("""COMPUTED_VALUE"""),236.4)</f>
        <v>236.4</v>
      </c>
      <c r="C154" s="4">
        <f>IFERROR(__xludf.DUMMYFUNCTION("""COMPUTED_VALUE"""),5029.9)</f>
        <v>5029.9</v>
      </c>
      <c r="D154" s="4">
        <f>IFERROR(__xludf.DUMMYFUNCTION("""COMPUTED_VALUE"""),2361.0)</f>
        <v>2361</v>
      </c>
      <c r="E154" s="4">
        <f>IFERROR(__xludf.DUMMYFUNCTION("""COMPUTED_VALUE"""),319.45)</f>
        <v>319.45</v>
      </c>
      <c r="F154" s="4">
        <f>IFERROR(__xludf.DUMMYFUNCTION("""COMPUTED_VALUE"""),125.13)</f>
        <v>125.13</v>
      </c>
      <c r="G154" s="4">
        <f>IFERROR(__xludf.DUMMYFUNCTION("""COMPUTED_VALUE"""),24366.0)</f>
        <v>24366</v>
      </c>
    </row>
    <row r="155">
      <c r="A155" s="5">
        <f>IFERROR(__xludf.DUMMYFUNCTION("""COMPUTED_VALUE"""),46251.64583333333)</f>
        <v>46251.64583</v>
      </c>
      <c r="B155" s="4">
        <f>IFERROR(__xludf.DUMMYFUNCTION("""COMPUTED_VALUE"""),238.49)</f>
        <v>238.49</v>
      </c>
      <c r="C155" s="4">
        <f>IFERROR(__xludf.DUMMYFUNCTION("""COMPUTED_VALUE"""),5059.0)</f>
        <v>5059</v>
      </c>
      <c r="D155" s="4">
        <f>IFERROR(__xludf.DUMMYFUNCTION("""COMPUTED_VALUE"""),2313.2)</f>
        <v>2313.2</v>
      </c>
      <c r="E155" s="4">
        <f>IFERROR(__xludf.DUMMYFUNCTION("""COMPUTED_VALUE"""),316.65)</f>
        <v>316.65</v>
      </c>
      <c r="F155" s="4">
        <f>IFERROR(__xludf.DUMMYFUNCTION("""COMPUTED_VALUE"""),126.42)</f>
        <v>126.42</v>
      </c>
      <c r="G155" s="4">
        <f>IFERROR(__xludf.DUMMYFUNCTION("""COMPUTED_VALUE"""),24287.65)</f>
        <v>24287.65</v>
      </c>
    </row>
    <row r="156">
      <c r="A156" s="5">
        <f>IFERROR(__xludf.DUMMYFUNCTION("""COMPUTED_VALUE"""),46252.64583333333)</f>
        <v>46252.64583</v>
      </c>
      <c r="B156" s="4">
        <f>IFERROR(__xludf.DUMMYFUNCTION("""COMPUTED_VALUE"""),239.5)</f>
        <v>239.5</v>
      </c>
      <c r="C156" s="4">
        <f>IFERROR(__xludf.DUMMYFUNCTION("""COMPUTED_VALUE"""),5099.0)</f>
        <v>5099</v>
      </c>
      <c r="D156" s="4">
        <f>IFERROR(__xludf.DUMMYFUNCTION("""COMPUTED_VALUE"""),2280.0)</f>
        <v>2280</v>
      </c>
      <c r="E156" s="4">
        <f>IFERROR(__xludf.DUMMYFUNCTION("""COMPUTED_VALUE"""),310.3)</f>
        <v>310.3</v>
      </c>
      <c r="F156" s="4">
        <f>IFERROR(__xludf.DUMMYFUNCTION("""COMPUTED_VALUE"""),126.43)</f>
        <v>126.43</v>
      </c>
      <c r="G156" s="4">
        <f>IFERROR(__xludf.DUMMYFUNCTION("""COMPUTED_VALUE"""),24154.9)</f>
        <v>24154.9</v>
      </c>
    </row>
    <row r="157">
      <c r="A157" s="5">
        <f>IFERROR(__xludf.DUMMYFUNCTION("""COMPUTED_VALUE"""),46253.64583333333)</f>
        <v>46253.64583</v>
      </c>
      <c r="B157" s="4">
        <f>IFERROR(__xludf.DUMMYFUNCTION("""COMPUTED_VALUE"""),238.0)</f>
        <v>238</v>
      </c>
      <c r="C157" s="4">
        <f>IFERROR(__xludf.DUMMYFUNCTION("""COMPUTED_VALUE"""),5017.0)</f>
        <v>5017</v>
      </c>
      <c r="D157" s="4">
        <f>IFERROR(__xludf.DUMMYFUNCTION("""COMPUTED_VALUE"""),2289.0)</f>
        <v>2289</v>
      </c>
      <c r="E157" s="4">
        <f>IFERROR(__xludf.DUMMYFUNCTION("""COMPUTED_VALUE"""),307.0)</f>
        <v>307</v>
      </c>
      <c r="F157" s="4">
        <f>IFERROR(__xludf.DUMMYFUNCTION("""COMPUTED_VALUE"""),125.73)</f>
        <v>125.73</v>
      </c>
      <c r="G157" s="4">
        <f>IFERROR(__xludf.DUMMYFUNCTION("""COMPUTED_VALUE"""),24078.3)</f>
        <v>24078.3</v>
      </c>
    </row>
    <row r="158">
      <c r="A158" s="5">
        <f>IFERROR(__xludf.DUMMYFUNCTION("""COMPUTED_VALUE"""),46254.64583333333)</f>
        <v>46254.64583</v>
      </c>
      <c r="B158" s="4">
        <f>IFERROR(__xludf.DUMMYFUNCTION("""COMPUTED_VALUE"""),238.5)</f>
        <v>238.5</v>
      </c>
      <c r="C158" s="4">
        <f>IFERROR(__xludf.DUMMYFUNCTION("""COMPUTED_VALUE"""),4998.0)</f>
        <v>4998</v>
      </c>
      <c r="D158" s="4">
        <f>IFERROR(__xludf.DUMMYFUNCTION("""COMPUTED_VALUE"""),2298.0)</f>
        <v>2298</v>
      </c>
      <c r="E158" s="4">
        <f>IFERROR(__xludf.DUMMYFUNCTION("""COMPUTED_VALUE"""),308.7)</f>
        <v>308.7</v>
      </c>
      <c r="F158" s="4">
        <f>IFERROR(__xludf.DUMMYFUNCTION("""COMPUTED_VALUE"""),128.88)</f>
        <v>128.88</v>
      </c>
      <c r="G158" s="4">
        <f>IFERROR(__xludf.DUMMYFUNCTION("""COMPUTED_VALUE"""),24231.85)</f>
        <v>24231.85</v>
      </c>
    </row>
    <row r="159">
      <c r="A159" s="5">
        <f>IFERROR(__xludf.DUMMYFUNCTION("""COMPUTED_VALUE"""),46255.64583333333)</f>
        <v>46255.64583</v>
      </c>
      <c r="B159" s="4">
        <f>IFERROR(__xludf.DUMMYFUNCTION("""COMPUTED_VALUE"""),236.4)</f>
        <v>236.4</v>
      </c>
      <c r="C159" s="4">
        <f>IFERROR(__xludf.DUMMYFUNCTION("""COMPUTED_VALUE"""),5000.0)</f>
        <v>5000</v>
      </c>
      <c r="D159" s="4">
        <f>IFERROR(__xludf.DUMMYFUNCTION("""COMPUTED_VALUE"""),2302.0)</f>
        <v>2302</v>
      </c>
      <c r="E159" s="4">
        <f>IFERROR(__xludf.DUMMYFUNCTION("""COMPUTED_VALUE"""),311.0)</f>
        <v>311</v>
      </c>
      <c r="F159" s="4">
        <f>IFERROR(__xludf.DUMMYFUNCTION("""COMPUTED_VALUE"""),131.32)</f>
        <v>131.32</v>
      </c>
      <c r="G159" s="4">
        <f>IFERROR(__xludf.DUMMYFUNCTION("""COMPUTED_VALUE"""),24252.0)</f>
        <v>24252</v>
      </c>
    </row>
    <row r="160">
      <c r="A160" s="5">
        <f>IFERROR(__xludf.DUMMYFUNCTION("""COMPUTED_VALUE"""),46258.64583333333)</f>
        <v>46258.64583</v>
      </c>
      <c r="B160" s="4">
        <f>IFERROR(__xludf.DUMMYFUNCTION("""COMPUTED_VALUE"""),236.55)</f>
        <v>236.55</v>
      </c>
      <c r="C160" s="4">
        <f>IFERROR(__xludf.DUMMYFUNCTION("""COMPUTED_VALUE"""),4906.0)</f>
        <v>4906</v>
      </c>
      <c r="D160" s="4">
        <f>IFERROR(__xludf.DUMMYFUNCTION("""COMPUTED_VALUE"""),2284.1)</f>
        <v>2284.1</v>
      </c>
      <c r="E160" s="4">
        <f>IFERROR(__xludf.DUMMYFUNCTION("""COMPUTED_VALUE"""),311.9)</f>
        <v>311.9</v>
      </c>
      <c r="F160" s="4">
        <f>IFERROR(__xludf.DUMMYFUNCTION("""COMPUTED_VALUE"""),133.02)</f>
        <v>133.02</v>
      </c>
      <c r="G160" s="4">
        <f>IFERROR(__xludf.DUMMYFUNCTION("""COMPUTED_VALUE"""),24219.05)</f>
        <v>24219.05</v>
      </c>
    </row>
    <row r="161">
      <c r="A161" s="5">
        <f>IFERROR(__xludf.DUMMYFUNCTION("""COMPUTED_VALUE"""),46259.64583333333)</f>
        <v>46259.64583</v>
      </c>
      <c r="B161" s="4">
        <f>IFERROR(__xludf.DUMMYFUNCTION("""COMPUTED_VALUE"""),234.0)</f>
        <v>234</v>
      </c>
      <c r="C161" s="4">
        <f>IFERROR(__xludf.DUMMYFUNCTION("""COMPUTED_VALUE"""),4900.0)</f>
        <v>4900</v>
      </c>
      <c r="D161" s="4">
        <f>IFERROR(__xludf.DUMMYFUNCTION("""COMPUTED_VALUE"""),2296.2)</f>
        <v>2296.2</v>
      </c>
      <c r="E161" s="4">
        <f>IFERROR(__xludf.DUMMYFUNCTION("""COMPUTED_VALUE"""),318.1)</f>
        <v>318.1</v>
      </c>
      <c r="F161" s="4">
        <f>IFERROR(__xludf.DUMMYFUNCTION("""COMPUTED_VALUE"""),132.78)</f>
        <v>132.78</v>
      </c>
      <c r="G161" s="4">
        <f>IFERROR(__xludf.DUMMYFUNCTION("""COMPUTED_VALUE"""),24334.55)</f>
        <v>24334.55</v>
      </c>
    </row>
    <row r="162">
      <c r="A162" s="5">
        <f>IFERROR(__xludf.DUMMYFUNCTION("""COMPUTED_VALUE"""),46260.64583333333)</f>
        <v>46260.64583</v>
      </c>
      <c r="B162" s="4">
        <f>IFERROR(__xludf.DUMMYFUNCTION("""COMPUTED_VALUE"""),232.21)</f>
        <v>232.21</v>
      </c>
      <c r="C162" s="4">
        <f>IFERROR(__xludf.DUMMYFUNCTION("""COMPUTED_VALUE"""),4865.5)</f>
        <v>4865.5</v>
      </c>
      <c r="D162" s="4">
        <f>IFERROR(__xludf.DUMMYFUNCTION("""COMPUTED_VALUE"""),2270.0)</f>
        <v>2270</v>
      </c>
      <c r="E162" s="4">
        <f>IFERROR(__xludf.DUMMYFUNCTION("""COMPUTED_VALUE"""),318.0)</f>
        <v>318</v>
      </c>
      <c r="F162" s="4">
        <f>IFERROR(__xludf.DUMMYFUNCTION("""COMPUTED_VALUE"""),132.37)</f>
        <v>132.37</v>
      </c>
      <c r="G162" s="4">
        <f>IFERROR(__xludf.DUMMYFUNCTION("""COMPUTED_VALUE"""),24207.75)</f>
        <v>24207.75</v>
      </c>
    </row>
    <row r="163">
      <c r="A163" s="5">
        <f>IFERROR(__xludf.DUMMYFUNCTION("""COMPUTED_VALUE"""),46261.64583333333)</f>
        <v>46261.64583</v>
      </c>
      <c r="B163" s="4">
        <f>IFERROR(__xludf.DUMMYFUNCTION("""COMPUTED_VALUE"""),232.0)</f>
        <v>232</v>
      </c>
      <c r="C163" s="4">
        <f>IFERROR(__xludf.DUMMYFUNCTION("""COMPUTED_VALUE"""),4899.0)</f>
        <v>4899</v>
      </c>
      <c r="D163" s="4">
        <f>IFERROR(__xludf.DUMMYFUNCTION("""COMPUTED_VALUE"""),2248.4)</f>
        <v>2248.4</v>
      </c>
      <c r="E163" s="4">
        <f>IFERROR(__xludf.DUMMYFUNCTION("""COMPUTED_VALUE"""),318.0)</f>
        <v>318</v>
      </c>
      <c r="F163" s="4">
        <f>IFERROR(__xludf.DUMMYFUNCTION("""COMPUTED_VALUE"""),130.05)</f>
        <v>130.05</v>
      </c>
      <c r="G163" s="4">
        <f>IFERROR(__xludf.DUMMYFUNCTION("""COMPUTED_VALUE"""),24090.85)</f>
        <v>24090.85</v>
      </c>
    </row>
    <row r="164">
      <c r="A164" s="5">
        <f>IFERROR(__xludf.DUMMYFUNCTION("""COMPUTED_VALUE"""),46262.64583333333)</f>
        <v>46262.64583</v>
      </c>
      <c r="B164" s="4">
        <f>IFERROR(__xludf.DUMMYFUNCTION("""COMPUTED_VALUE"""),232.25)</f>
        <v>232.25</v>
      </c>
      <c r="C164" s="4">
        <f>IFERROR(__xludf.DUMMYFUNCTION("""COMPUTED_VALUE"""),4861.1)</f>
        <v>4861.1</v>
      </c>
      <c r="D164" s="4">
        <f>IFERROR(__xludf.DUMMYFUNCTION("""COMPUTED_VALUE"""),2342.0)</f>
        <v>2342</v>
      </c>
      <c r="E164" s="4">
        <f>IFERROR(__xludf.DUMMYFUNCTION("""COMPUTED_VALUE"""),319.25)</f>
        <v>319.25</v>
      </c>
      <c r="F164" s="4">
        <f>IFERROR(__xludf.DUMMYFUNCTION("""COMPUTED_VALUE"""),130.85)</f>
        <v>130.85</v>
      </c>
      <c r="G164" s="4">
        <f>IFERROR(__xludf.DUMMYFUNCTION("""COMPUTED_VALUE"""),24175.65)</f>
        <v>24175.65</v>
      </c>
    </row>
    <row r="165">
      <c r="A165" s="5">
        <f>IFERROR(__xludf.DUMMYFUNCTION("""COMPUTED_VALUE"""),46265.64583333333)</f>
        <v>46265.64583</v>
      </c>
      <c r="B165" s="4">
        <f>IFERROR(__xludf.DUMMYFUNCTION("""COMPUTED_VALUE"""),231.8)</f>
        <v>231.8</v>
      </c>
      <c r="C165" s="4">
        <f>IFERROR(__xludf.DUMMYFUNCTION("""COMPUTED_VALUE"""),4801.6)</f>
        <v>4801.6</v>
      </c>
      <c r="D165" s="4">
        <f>IFERROR(__xludf.DUMMYFUNCTION("""COMPUTED_VALUE"""),2399.3)</f>
        <v>2399.3</v>
      </c>
      <c r="E165" s="4">
        <f>IFERROR(__xludf.DUMMYFUNCTION("""COMPUTED_VALUE"""),324.05)</f>
        <v>324.05</v>
      </c>
      <c r="F165" s="4">
        <f>IFERROR(__xludf.DUMMYFUNCTION("""COMPUTED_VALUE"""),127.32)</f>
        <v>127.32</v>
      </c>
      <c r="G165" s="4">
        <f>IFERROR(__xludf.DUMMYFUNCTION("""COMPUTED_VALUE"""),24080.4)</f>
        <v>24080.4</v>
      </c>
    </row>
    <row r="166">
      <c r="A166" s="5">
        <f>IFERROR(__xludf.DUMMYFUNCTION("""COMPUTED_VALUE"""),46266.64583333333)</f>
        <v>46266.64583</v>
      </c>
      <c r="B166" s="4">
        <f>IFERROR(__xludf.DUMMYFUNCTION("""COMPUTED_VALUE"""),236.45)</f>
        <v>236.45</v>
      </c>
      <c r="C166" s="4">
        <f>IFERROR(__xludf.DUMMYFUNCTION("""COMPUTED_VALUE"""),4807.6)</f>
        <v>4807.6</v>
      </c>
      <c r="D166" s="4">
        <f>IFERROR(__xludf.DUMMYFUNCTION("""COMPUTED_VALUE"""),2369.0)</f>
        <v>2369</v>
      </c>
      <c r="E166" s="4">
        <f>IFERROR(__xludf.DUMMYFUNCTION("""COMPUTED_VALUE"""),317.65)</f>
        <v>317.65</v>
      </c>
      <c r="F166" s="4">
        <f>IFERROR(__xludf.DUMMYFUNCTION("""COMPUTED_VALUE"""),125.34)</f>
        <v>125.34</v>
      </c>
      <c r="G166" s="4">
        <f>IFERROR(__xludf.DUMMYFUNCTION("""COMPUTED_VALUE"""),24055.8)</f>
        <v>24055.8</v>
      </c>
    </row>
    <row r="167">
      <c r="A167" s="5">
        <f>IFERROR(__xludf.DUMMYFUNCTION("""COMPUTED_VALUE"""),46267.64583333333)</f>
        <v>46267.64583</v>
      </c>
      <c r="B167" s="4">
        <f>IFERROR(__xludf.DUMMYFUNCTION("""COMPUTED_VALUE"""),237.5)</f>
        <v>237.5</v>
      </c>
      <c r="C167" s="4">
        <f>IFERROR(__xludf.DUMMYFUNCTION("""COMPUTED_VALUE"""),4780.0)</f>
        <v>4780</v>
      </c>
      <c r="D167" s="4">
        <f>IFERROR(__xludf.DUMMYFUNCTION("""COMPUTED_VALUE"""),2348.0)</f>
        <v>2348</v>
      </c>
      <c r="E167" s="4">
        <f>IFERROR(__xludf.DUMMYFUNCTION("""COMPUTED_VALUE"""),319.6)</f>
        <v>319.6</v>
      </c>
      <c r="F167" s="4">
        <f>IFERROR(__xludf.DUMMYFUNCTION("""COMPUTED_VALUE"""),123.52)</f>
        <v>123.52</v>
      </c>
      <c r="G167" s="4">
        <f>IFERROR(__xludf.DUMMYFUNCTION("""COMPUTED_VALUE"""),23914.45)</f>
        <v>23914.45</v>
      </c>
    </row>
    <row r="168">
      <c r="A168" s="5">
        <f>IFERROR(__xludf.DUMMYFUNCTION("""COMPUTED_VALUE"""),46268.64583333333)</f>
        <v>46268.64583</v>
      </c>
      <c r="B168" s="4">
        <f>IFERROR(__xludf.DUMMYFUNCTION("""COMPUTED_VALUE"""),236.0)</f>
        <v>236</v>
      </c>
      <c r="C168" s="4">
        <f>IFERROR(__xludf.DUMMYFUNCTION("""COMPUTED_VALUE"""),4765.6)</f>
        <v>4765.6</v>
      </c>
      <c r="D168" s="4">
        <f>IFERROR(__xludf.DUMMYFUNCTION("""COMPUTED_VALUE"""),2320.1)</f>
        <v>2320.1</v>
      </c>
      <c r="E168" s="4">
        <f>IFERROR(__xludf.DUMMYFUNCTION("""COMPUTED_VALUE"""),320.05)</f>
        <v>320.05</v>
      </c>
      <c r="F168" s="4">
        <f>IFERROR(__xludf.DUMMYFUNCTION("""COMPUTED_VALUE"""),126.23)</f>
        <v>126.23</v>
      </c>
      <c r="G168" s="4">
        <f>IFERROR(__xludf.DUMMYFUNCTION("""COMPUTED_VALUE"""),23873.45)</f>
        <v>23873.45</v>
      </c>
    </row>
    <row r="169">
      <c r="A169" s="5">
        <f>IFERROR(__xludf.DUMMYFUNCTION("""COMPUTED_VALUE"""),46269.64583333333)</f>
        <v>46269.64583</v>
      </c>
      <c r="B169" s="4">
        <f>IFERROR(__xludf.DUMMYFUNCTION("""COMPUTED_VALUE"""),234.65)</f>
        <v>234.65</v>
      </c>
      <c r="C169" s="4">
        <f>IFERROR(__xludf.DUMMYFUNCTION("""COMPUTED_VALUE"""),4856.0)</f>
        <v>4856</v>
      </c>
      <c r="D169" s="4">
        <f>IFERROR(__xludf.DUMMYFUNCTION("""COMPUTED_VALUE"""),2304.0)</f>
        <v>2304</v>
      </c>
      <c r="E169" s="4">
        <f>IFERROR(__xludf.DUMMYFUNCTION("""COMPUTED_VALUE"""),315.7)</f>
        <v>315.7</v>
      </c>
      <c r="F169" s="4">
        <f>IFERROR(__xludf.DUMMYFUNCTION("""COMPUTED_VALUE"""),127.17)</f>
        <v>127.17</v>
      </c>
      <c r="G169" s="4">
        <f>IFERROR(__xludf.DUMMYFUNCTION("""COMPUTED_VALUE"""),23897.7)</f>
        <v>23897.7</v>
      </c>
    </row>
    <row r="170">
      <c r="A170" s="5">
        <f>IFERROR(__xludf.DUMMYFUNCTION("""COMPUTED_VALUE"""),46272.64583333333)</f>
        <v>46272.64583</v>
      </c>
      <c r="B170" s="4">
        <f>IFERROR(__xludf.DUMMYFUNCTION("""COMPUTED_VALUE"""),233.7)</f>
        <v>233.7</v>
      </c>
      <c r="C170" s="4">
        <f>IFERROR(__xludf.DUMMYFUNCTION("""COMPUTED_VALUE"""),4855.2)</f>
        <v>4855.2</v>
      </c>
      <c r="D170" s="4">
        <f>IFERROR(__xludf.DUMMYFUNCTION("""COMPUTED_VALUE"""),2270.0)</f>
        <v>2270</v>
      </c>
      <c r="E170" s="4">
        <f>IFERROR(__xludf.DUMMYFUNCTION("""COMPUTED_VALUE"""),312.9)</f>
        <v>312.9</v>
      </c>
      <c r="F170" s="4">
        <f>IFERROR(__xludf.DUMMYFUNCTION("""COMPUTED_VALUE"""),125.58)</f>
        <v>125.58</v>
      </c>
      <c r="G170" s="4">
        <f>IFERROR(__xludf.DUMMYFUNCTION("""COMPUTED_VALUE"""),23779.15)</f>
        <v>23779.15</v>
      </c>
    </row>
    <row r="171">
      <c r="A171" s="5">
        <f>IFERROR(__xludf.DUMMYFUNCTION("""COMPUTED_VALUE"""),46273.64583333333)</f>
        <v>46273.64583</v>
      </c>
      <c r="B171" s="4">
        <f>IFERROR(__xludf.DUMMYFUNCTION("""COMPUTED_VALUE"""),236.0)</f>
        <v>236</v>
      </c>
      <c r="C171" s="4">
        <f>IFERROR(__xludf.DUMMYFUNCTION("""COMPUTED_VALUE"""),5031.1)</f>
        <v>5031.1</v>
      </c>
      <c r="D171" s="4">
        <f>IFERROR(__xludf.DUMMYFUNCTION("""COMPUTED_VALUE"""),2255.5)</f>
        <v>2255.5</v>
      </c>
      <c r="E171" s="4">
        <f>IFERROR(__xludf.DUMMYFUNCTION("""COMPUTED_VALUE"""),303.85)</f>
        <v>303.85</v>
      </c>
      <c r="F171" s="4">
        <f>IFERROR(__xludf.DUMMYFUNCTION("""COMPUTED_VALUE"""),125.84)</f>
        <v>125.84</v>
      </c>
      <c r="G171" s="4">
        <f>IFERROR(__xludf.DUMMYFUNCTION("""COMPUTED_VALUE"""),23635.1)</f>
        <v>23635.1</v>
      </c>
    </row>
    <row r="172">
      <c r="A172" s="5">
        <f>IFERROR(__xludf.DUMMYFUNCTION("""COMPUTED_VALUE"""),46274.64583333333)</f>
        <v>46274.64583</v>
      </c>
      <c r="B172" s="4">
        <f>IFERROR(__xludf.DUMMYFUNCTION("""COMPUTED_VALUE"""),234.02)</f>
        <v>234.02</v>
      </c>
      <c r="C172" s="4">
        <f>IFERROR(__xludf.DUMMYFUNCTION("""COMPUTED_VALUE"""),5000.5)</f>
        <v>5000.5</v>
      </c>
      <c r="D172" s="4">
        <f>IFERROR(__xludf.DUMMYFUNCTION("""COMPUTED_VALUE"""),2208.0)</f>
        <v>2208</v>
      </c>
      <c r="E172" s="4">
        <f>IFERROR(__xludf.DUMMYFUNCTION("""COMPUTED_VALUE"""),303.55)</f>
        <v>303.55</v>
      </c>
      <c r="F172" s="4">
        <f>IFERROR(__xludf.DUMMYFUNCTION("""COMPUTED_VALUE"""),125.78)</f>
        <v>125.78</v>
      </c>
      <c r="G172" s="4">
        <f>IFERROR(__xludf.DUMMYFUNCTION("""COMPUTED_VALUE"""),23431.5)</f>
        <v>23431.5</v>
      </c>
    </row>
    <row r="173">
      <c r="A173" s="5">
        <f>IFERROR(__xludf.DUMMYFUNCTION("""COMPUTED_VALUE"""),46275.64583333333)</f>
        <v>46275.64583</v>
      </c>
      <c r="B173" s="4">
        <f>IFERROR(__xludf.DUMMYFUNCTION("""COMPUTED_VALUE"""),237.27)</f>
        <v>237.27</v>
      </c>
      <c r="C173" s="4">
        <f>IFERROR(__xludf.DUMMYFUNCTION("""COMPUTED_VALUE"""),4950.0)</f>
        <v>4950</v>
      </c>
      <c r="D173" s="4">
        <f>IFERROR(__xludf.DUMMYFUNCTION("""COMPUTED_VALUE"""),2204.1)</f>
        <v>2204.1</v>
      </c>
      <c r="E173" s="4">
        <f>IFERROR(__xludf.DUMMYFUNCTION("""COMPUTED_VALUE"""),303.0)</f>
        <v>303</v>
      </c>
      <c r="F173" s="4">
        <f>IFERROR(__xludf.DUMMYFUNCTION("""COMPUTED_VALUE"""),126.2)</f>
        <v>126.2</v>
      </c>
      <c r="G173" s="4">
        <f>IFERROR(__xludf.DUMMYFUNCTION("""COMPUTED_VALUE"""),23477.8)</f>
        <v>23477.8</v>
      </c>
    </row>
    <row r="174">
      <c r="A174" s="5">
        <f>IFERROR(__xludf.DUMMYFUNCTION("""COMPUTED_VALUE"""),46276.64583333333)</f>
        <v>46276.64583</v>
      </c>
      <c r="B174" s="4">
        <f>IFERROR(__xludf.DUMMYFUNCTION("""COMPUTED_VALUE"""),232.5)</f>
        <v>232.5</v>
      </c>
      <c r="C174" s="4">
        <f>IFERROR(__xludf.DUMMYFUNCTION("""COMPUTED_VALUE"""),4905.0)</f>
        <v>4905</v>
      </c>
      <c r="D174" s="4">
        <f>IFERROR(__xludf.DUMMYFUNCTION("""COMPUTED_VALUE"""),2200.8)</f>
        <v>2200.8</v>
      </c>
      <c r="E174" s="4">
        <f>IFERROR(__xludf.DUMMYFUNCTION("""COMPUTED_VALUE"""),304.5)</f>
        <v>304.5</v>
      </c>
      <c r="F174" s="4">
        <f>IFERROR(__xludf.DUMMYFUNCTION("""COMPUTED_VALUE"""),125.12)</f>
        <v>125.12</v>
      </c>
      <c r="G174" s="4">
        <f>IFERROR(__xludf.DUMMYFUNCTION("""COMPUTED_VALUE"""),23398.1)</f>
        <v>23398.1</v>
      </c>
    </row>
    <row r="175">
      <c r="A175" s="5">
        <f>IFERROR(__xludf.DUMMYFUNCTION("""COMPUTED_VALUE"""),46280.64583333333)</f>
        <v>46280.64583</v>
      </c>
      <c r="B175" s="4">
        <f>IFERROR(__xludf.DUMMYFUNCTION("""COMPUTED_VALUE"""),235.95)</f>
        <v>235.95</v>
      </c>
      <c r="C175" s="4">
        <f>IFERROR(__xludf.DUMMYFUNCTION("""COMPUTED_VALUE"""),4695.0)</f>
        <v>4695</v>
      </c>
      <c r="D175" s="4">
        <f>IFERROR(__xludf.DUMMYFUNCTION("""COMPUTED_VALUE"""),2251.0)</f>
        <v>2251</v>
      </c>
      <c r="E175" s="4">
        <f>IFERROR(__xludf.DUMMYFUNCTION("""COMPUTED_VALUE"""),298.65)</f>
        <v>298.65</v>
      </c>
      <c r="F175" s="4">
        <f>IFERROR(__xludf.DUMMYFUNCTION("""COMPUTED_VALUE"""),123.62)</f>
        <v>123.62</v>
      </c>
      <c r="G175" s="4">
        <f>IFERROR(__xludf.DUMMYFUNCTION("""COMPUTED_VALUE"""),23118.6)</f>
        <v>23118.6</v>
      </c>
    </row>
    <row r="176">
      <c r="A176" s="5">
        <f>IFERROR(__xludf.DUMMYFUNCTION("""COMPUTED_VALUE"""),46281.64583333333)</f>
        <v>46281.64583</v>
      </c>
      <c r="B176" s="4">
        <f>IFERROR(__xludf.DUMMYFUNCTION("""COMPUTED_VALUE"""),236.8)</f>
        <v>236.8</v>
      </c>
      <c r="C176" s="4">
        <f>IFERROR(__xludf.DUMMYFUNCTION("""COMPUTED_VALUE"""),4695.6)</f>
        <v>4695.6</v>
      </c>
      <c r="D176" s="4">
        <f>IFERROR(__xludf.DUMMYFUNCTION("""COMPUTED_VALUE"""),2188.8)</f>
        <v>2188.8</v>
      </c>
      <c r="E176" s="4">
        <f>IFERROR(__xludf.DUMMYFUNCTION("""COMPUTED_VALUE"""),303.35)</f>
        <v>303.35</v>
      </c>
      <c r="F176" s="4">
        <f>IFERROR(__xludf.DUMMYFUNCTION("""COMPUTED_VALUE"""),124.91)</f>
        <v>124.91</v>
      </c>
      <c r="G176" s="4">
        <f>IFERROR(__xludf.DUMMYFUNCTION("""COMPUTED_VALUE"""),23217.6)</f>
        <v>23217.6</v>
      </c>
    </row>
    <row r="177">
      <c r="A177" s="5">
        <f>IFERROR(__xludf.DUMMYFUNCTION("""COMPUTED_VALUE"""),46282.64583333333)</f>
        <v>46282.64583</v>
      </c>
      <c r="B177" s="4">
        <f>IFERROR(__xludf.DUMMYFUNCTION("""COMPUTED_VALUE"""),232.43)</f>
        <v>232.43</v>
      </c>
      <c r="C177" s="4">
        <f>IFERROR(__xludf.DUMMYFUNCTION("""COMPUTED_VALUE"""),4788.0)</f>
        <v>4788</v>
      </c>
      <c r="D177" s="4">
        <f>IFERROR(__xludf.DUMMYFUNCTION("""COMPUTED_VALUE"""),2190.0)</f>
        <v>2190</v>
      </c>
      <c r="E177" s="4">
        <f>IFERROR(__xludf.DUMMYFUNCTION("""COMPUTED_VALUE"""),307.0)</f>
        <v>307</v>
      </c>
      <c r="F177" s="4">
        <f>IFERROR(__xludf.DUMMYFUNCTION("""COMPUTED_VALUE"""),124.43)</f>
        <v>124.43</v>
      </c>
      <c r="G177" s="4">
        <f>IFERROR(__xludf.DUMMYFUNCTION("""COMPUTED_VALUE"""),23270.6)</f>
        <v>23270.6</v>
      </c>
    </row>
    <row r="178">
      <c r="A178" s="5">
        <f>IFERROR(__xludf.DUMMYFUNCTION("""COMPUTED_VALUE"""),46283.64583333333)</f>
        <v>46283.64583</v>
      </c>
      <c r="B178" s="4">
        <f>IFERROR(__xludf.DUMMYFUNCTION("""COMPUTED_VALUE"""),232.8)</f>
        <v>232.8</v>
      </c>
      <c r="C178" s="4">
        <f>IFERROR(__xludf.DUMMYFUNCTION("""COMPUTED_VALUE"""),4800.3)</f>
        <v>4800.3</v>
      </c>
      <c r="D178" s="4">
        <f>IFERROR(__xludf.DUMMYFUNCTION("""COMPUTED_VALUE"""),2105.0)</f>
        <v>2105</v>
      </c>
      <c r="E178" s="4">
        <f>IFERROR(__xludf.DUMMYFUNCTION("""COMPUTED_VALUE"""),314.0)</f>
        <v>314</v>
      </c>
      <c r="F178" s="4">
        <f>IFERROR(__xludf.DUMMYFUNCTION("""COMPUTED_VALUE"""),126.48)</f>
        <v>126.48</v>
      </c>
      <c r="G178" s="4">
        <f>IFERROR(__xludf.DUMMYFUNCTION("""COMPUTED_VALUE"""),23346.4)</f>
        <v>23346.4</v>
      </c>
    </row>
    <row r="179">
      <c r="A179" s="5">
        <f>IFERROR(__xludf.DUMMYFUNCTION("""COMPUTED_VALUE"""),46286.64583333333)</f>
        <v>46286.64583</v>
      </c>
      <c r="B179" s="4">
        <f>IFERROR(__xludf.DUMMYFUNCTION("""COMPUTED_VALUE"""),235.63)</f>
        <v>235.63</v>
      </c>
      <c r="C179" s="4">
        <f>IFERROR(__xludf.DUMMYFUNCTION("""COMPUTED_VALUE"""),4826.0)</f>
        <v>4826</v>
      </c>
      <c r="D179" s="4">
        <f>IFERROR(__xludf.DUMMYFUNCTION("""COMPUTED_VALUE"""),2128.7)</f>
        <v>2128.7</v>
      </c>
      <c r="E179" s="4">
        <f>IFERROR(__xludf.DUMMYFUNCTION("""COMPUTED_VALUE"""),312.75)</f>
        <v>312.75</v>
      </c>
      <c r="F179" s="4">
        <f>IFERROR(__xludf.DUMMYFUNCTION("""COMPUTED_VALUE"""),125.57)</f>
        <v>125.57</v>
      </c>
      <c r="G179" s="4">
        <f>IFERROR(__xludf.DUMMYFUNCTION("""COMPUTED_VALUE"""),23414.3)</f>
        <v>23414.3</v>
      </c>
    </row>
    <row r="180">
      <c r="A180" s="5">
        <f>IFERROR(__xludf.DUMMYFUNCTION("""COMPUTED_VALUE"""),46287.64583333333)</f>
        <v>46287.64583</v>
      </c>
      <c r="B180" s="4">
        <f>IFERROR(__xludf.DUMMYFUNCTION("""COMPUTED_VALUE"""),236.13)</f>
        <v>236.13</v>
      </c>
      <c r="C180" s="4">
        <f>IFERROR(__xludf.DUMMYFUNCTION("""COMPUTED_VALUE"""),4800.0)</f>
        <v>4800</v>
      </c>
      <c r="D180" s="4">
        <f>IFERROR(__xludf.DUMMYFUNCTION("""COMPUTED_VALUE"""),2105.0)</f>
        <v>2105</v>
      </c>
      <c r="E180" s="4">
        <f>IFERROR(__xludf.DUMMYFUNCTION("""COMPUTED_VALUE"""),313.6)</f>
        <v>313.6</v>
      </c>
      <c r="F180" s="4">
        <f>IFERROR(__xludf.DUMMYFUNCTION("""COMPUTED_VALUE"""),125.0)</f>
        <v>125</v>
      </c>
      <c r="G180" s="4">
        <f>IFERROR(__xludf.DUMMYFUNCTION("""COMPUTED_VALUE"""),23329.0)</f>
        <v>23329</v>
      </c>
    </row>
    <row r="181">
      <c r="A181" s="5">
        <f>IFERROR(__xludf.DUMMYFUNCTION("""COMPUTED_VALUE"""),46288.64583333333)</f>
        <v>46288.64583</v>
      </c>
      <c r="B181" s="4">
        <f>IFERROR(__xludf.DUMMYFUNCTION("""COMPUTED_VALUE"""),236.9)</f>
        <v>236.9</v>
      </c>
      <c r="C181" s="4">
        <f>IFERROR(__xludf.DUMMYFUNCTION("""COMPUTED_VALUE"""),4836.0)</f>
        <v>4836</v>
      </c>
      <c r="D181" s="4">
        <f>IFERROR(__xludf.DUMMYFUNCTION("""COMPUTED_VALUE"""),2089.6)</f>
        <v>2089.6</v>
      </c>
      <c r="E181" s="4">
        <f>IFERROR(__xludf.DUMMYFUNCTION("""COMPUTED_VALUE"""),315.75)</f>
        <v>315.75</v>
      </c>
      <c r="F181" s="4">
        <f>IFERROR(__xludf.DUMMYFUNCTION("""COMPUTED_VALUE"""),124.73)</f>
        <v>124.73</v>
      </c>
      <c r="G181" s="4">
        <f>IFERROR(__xludf.DUMMYFUNCTION("""COMPUTED_VALUE"""),23446.8)</f>
        <v>23446.8</v>
      </c>
    </row>
    <row r="182">
      <c r="A182" s="5">
        <f>IFERROR(__xludf.DUMMYFUNCTION("""COMPUTED_VALUE"""),46289.64583333333)</f>
        <v>46289.64583</v>
      </c>
      <c r="B182" s="4">
        <f>IFERROR(__xludf.DUMMYFUNCTION("""COMPUTED_VALUE"""),239.0)</f>
        <v>239</v>
      </c>
      <c r="C182" s="4">
        <f>IFERROR(__xludf.DUMMYFUNCTION("""COMPUTED_VALUE"""),4774.2)</f>
        <v>4774.2</v>
      </c>
      <c r="D182" s="4">
        <f>IFERROR(__xludf.DUMMYFUNCTION("""COMPUTED_VALUE"""),2087.0)</f>
        <v>2087</v>
      </c>
      <c r="E182" s="4">
        <f>IFERROR(__xludf.DUMMYFUNCTION("""COMPUTED_VALUE"""),307.1)</f>
        <v>307.1</v>
      </c>
      <c r="F182" s="4">
        <f>IFERROR(__xludf.DUMMYFUNCTION("""COMPUTED_VALUE"""),123.43)</f>
        <v>123.43</v>
      </c>
      <c r="G182" s="4">
        <f>IFERROR(__xludf.DUMMYFUNCTION("""COMPUTED_VALUE"""),23063.1)</f>
        <v>23063.1</v>
      </c>
    </row>
    <row r="183">
      <c r="A183" s="5">
        <f>IFERROR(__xludf.DUMMYFUNCTION("""COMPUTED_VALUE"""),46290.64583333333)</f>
        <v>46290.64583</v>
      </c>
      <c r="B183" s="4">
        <f>IFERROR(__xludf.DUMMYFUNCTION("""COMPUTED_VALUE"""),235.86)</f>
        <v>235.86</v>
      </c>
      <c r="C183" s="4">
        <f>IFERROR(__xludf.DUMMYFUNCTION("""COMPUTED_VALUE"""),4800.0)</f>
        <v>4800</v>
      </c>
      <c r="D183" s="4">
        <f>IFERROR(__xludf.DUMMYFUNCTION("""COMPUTED_VALUE"""),2082.0)</f>
        <v>2082</v>
      </c>
      <c r="E183" s="4">
        <f>IFERROR(__xludf.DUMMYFUNCTION("""COMPUTED_VALUE"""),308.5)</f>
        <v>308.5</v>
      </c>
      <c r="F183" s="4">
        <f>IFERROR(__xludf.DUMMYFUNCTION("""COMPUTED_VALUE"""),124.43)</f>
        <v>124.43</v>
      </c>
      <c r="G183" s="4">
        <f>IFERROR(__xludf.DUMMYFUNCTION("""COMPUTED_VALUE"""),23140.5)</f>
        <v>23140.5</v>
      </c>
    </row>
    <row r="184">
      <c r="A184" s="5">
        <f>IFERROR(__xludf.DUMMYFUNCTION("""COMPUTED_VALUE"""),46293.64583333333)</f>
        <v>46293.64583</v>
      </c>
      <c r="B184" s="4">
        <f>IFERROR(__xludf.DUMMYFUNCTION("""COMPUTED_VALUE"""),230.0)</f>
        <v>230</v>
      </c>
      <c r="C184" s="4">
        <f>IFERROR(__xludf.DUMMYFUNCTION("""COMPUTED_VALUE"""),4738.0)</f>
        <v>4738</v>
      </c>
      <c r="D184" s="4">
        <f>IFERROR(__xludf.DUMMYFUNCTION("""COMPUTED_VALUE"""),2070.7)</f>
        <v>2070.7</v>
      </c>
      <c r="E184" s="4">
        <f>IFERROR(__xludf.DUMMYFUNCTION("""COMPUTED_VALUE"""),302.25)</f>
        <v>302.25</v>
      </c>
      <c r="F184" s="4">
        <f>IFERROR(__xludf.DUMMYFUNCTION("""COMPUTED_VALUE"""),121.17)</f>
        <v>121.17</v>
      </c>
      <c r="G184" s="4">
        <f>IFERROR(__xludf.DUMMYFUNCTION("""COMPUTED_VALUE"""),22780.25)</f>
        <v>22780.25</v>
      </c>
    </row>
    <row r="185">
      <c r="A185" s="5">
        <f>IFERROR(__xludf.DUMMYFUNCTION("""COMPUTED_VALUE"""),46294.64583333333)</f>
        <v>46294.64583</v>
      </c>
      <c r="B185" s="4">
        <f>IFERROR(__xludf.DUMMYFUNCTION("""COMPUTED_VALUE"""),230.0)</f>
        <v>230</v>
      </c>
      <c r="C185" s="4">
        <f>IFERROR(__xludf.DUMMYFUNCTION("""COMPUTED_VALUE"""),4549.3)</f>
        <v>4549.3</v>
      </c>
      <c r="D185" s="4">
        <f>IFERROR(__xludf.DUMMYFUNCTION("""COMPUTED_VALUE"""),2032.4)</f>
        <v>2032.4</v>
      </c>
      <c r="E185" s="4">
        <f>IFERROR(__xludf.DUMMYFUNCTION("""COMPUTED_VALUE"""),299.35)</f>
        <v>299.35</v>
      </c>
      <c r="F185" s="4">
        <f>IFERROR(__xludf.DUMMYFUNCTION("""COMPUTED_VALUE"""),120.64)</f>
        <v>120.64</v>
      </c>
      <c r="G185" s="4">
        <f>IFERROR(__xludf.DUMMYFUNCTION("""COMPUTED_VALUE"""),22716.2)</f>
        <v>22716.2</v>
      </c>
    </row>
    <row r="186">
      <c r="A186" s="5">
        <f>IFERROR(__xludf.DUMMYFUNCTION("""COMPUTED_VALUE"""),46295.64583333333)</f>
        <v>46295.64583</v>
      </c>
      <c r="B186" s="4">
        <f>IFERROR(__xludf.DUMMYFUNCTION("""COMPUTED_VALUE"""),225.8)</f>
        <v>225.8</v>
      </c>
      <c r="C186" s="4">
        <f>IFERROR(__xludf.DUMMYFUNCTION("""COMPUTED_VALUE"""),4668.0)</f>
        <v>4668</v>
      </c>
      <c r="D186" s="4">
        <f>IFERROR(__xludf.DUMMYFUNCTION("""COMPUTED_VALUE"""),2050.6)</f>
        <v>2050.6</v>
      </c>
      <c r="E186" s="4">
        <f>IFERROR(__xludf.DUMMYFUNCTION("""COMPUTED_VALUE"""),303.2)</f>
        <v>303.2</v>
      </c>
      <c r="F186" s="4">
        <f>IFERROR(__xludf.DUMMYFUNCTION("""COMPUTED_VALUE"""),121.59)</f>
        <v>121.59</v>
      </c>
      <c r="G186" s="4">
        <f>IFERROR(__xludf.DUMMYFUNCTION("""COMPUTED_VALUE"""),22620.45)</f>
        <v>22620.45</v>
      </c>
    </row>
    <row r="187">
      <c r="A187" s="5">
        <f>IFERROR(__xludf.DUMMYFUNCTION("""COMPUTED_VALUE"""),46296.64583333333)</f>
        <v>46296.64583</v>
      </c>
      <c r="B187" s="4">
        <f>IFERROR(__xludf.DUMMYFUNCTION("""COMPUTED_VALUE"""),222.37)</f>
        <v>222.37</v>
      </c>
      <c r="C187" s="4">
        <f>IFERROR(__xludf.DUMMYFUNCTION("""COMPUTED_VALUE"""),4601.0)</f>
        <v>4601</v>
      </c>
      <c r="D187" s="4">
        <f>IFERROR(__xludf.DUMMYFUNCTION("""COMPUTED_VALUE"""),2075.0)</f>
        <v>2075</v>
      </c>
      <c r="E187" s="4">
        <f>IFERROR(__xludf.DUMMYFUNCTION("""COMPUTED_VALUE"""),300.6)</f>
        <v>300.6</v>
      </c>
      <c r="F187" s="4">
        <f>IFERROR(__xludf.DUMMYFUNCTION("""COMPUTED_VALUE"""),121.43)</f>
        <v>121.43</v>
      </c>
      <c r="G187" s="4">
        <f>IFERROR(__xludf.DUMMYFUNCTION("""COMPUTED_VALUE"""),22421.95)</f>
        <v>22421.95</v>
      </c>
    </row>
    <row r="188">
      <c r="A188" s="5">
        <f>IFERROR(__xludf.DUMMYFUNCTION("""COMPUTED_VALUE"""),46300.64583333333)</f>
        <v>46300.64583</v>
      </c>
      <c r="B188" s="4">
        <f>IFERROR(__xludf.DUMMYFUNCTION("""COMPUTED_VALUE"""),224.9)</f>
        <v>224.9</v>
      </c>
      <c r="C188" s="4">
        <f>IFERROR(__xludf.DUMMYFUNCTION("""COMPUTED_VALUE"""),4680.0)</f>
        <v>4680</v>
      </c>
      <c r="D188" s="4">
        <f>IFERROR(__xludf.DUMMYFUNCTION("""COMPUTED_VALUE"""),2114.4)</f>
        <v>2114.4</v>
      </c>
      <c r="E188" s="4">
        <f>IFERROR(__xludf.DUMMYFUNCTION("""COMPUTED_VALUE"""),296.95)</f>
        <v>296.95</v>
      </c>
      <c r="F188" s="4">
        <f>IFERROR(__xludf.DUMMYFUNCTION("""COMPUTED_VALUE"""),121.58)</f>
        <v>121.58</v>
      </c>
      <c r="G188" s="4">
        <f>IFERROR(__xludf.DUMMYFUNCTION("""COMPUTED_VALUE"""),22555.75)</f>
        <v>22555.75</v>
      </c>
    </row>
    <row r="189">
      <c r="A189" s="5">
        <f>IFERROR(__xludf.DUMMYFUNCTION("""COMPUTED_VALUE"""),46301.64583333333)</f>
        <v>46301.64583</v>
      </c>
      <c r="B189" s="4">
        <f>IFERROR(__xludf.DUMMYFUNCTION("""COMPUTED_VALUE"""),224.2)</f>
        <v>224.2</v>
      </c>
      <c r="C189" s="4">
        <f>IFERROR(__xludf.DUMMYFUNCTION("""COMPUTED_VALUE"""),4816.0)</f>
        <v>4816</v>
      </c>
      <c r="D189" s="4">
        <f>IFERROR(__xludf.DUMMYFUNCTION("""COMPUTED_VALUE"""),2100.0)</f>
        <v>2100</v>
      </c>
      <c r="E189" s="4">
        <f>IFERROR(__xludf.DUMMYFUNCTION("""COMPUTED_VALUE"""),300.5)</f>
        <v>300.5</v>
      </c>
      <c r="F189" s="4">
        <f>IFERROR(__xludf.DUMMYFUNCTION("""COMPUTED_VALUE"""),121.46)</f>
        <v>121.46</v>
      </c>
      <c r="G189" s="4">
        <f>IFERROR(__xludf.DUMMYFUNCTION("""COMPUTED_VALUE"""),22776.1)</f>
        <v>22776.1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4.63"/>
  </cols>
  <sheetData>
    <row r="1">
      <c r="A1" s="1" t="s">
        <v>0</v>
      </c>
      <c r="B1" s="2" t="s">
        <v>1</v>
      </c>
    </row>
    <row r="2">
      <c r="A2" s="1" t="s">
        <v>8</v>
      </c>
      <c r="B2" s="2">
        <v>46081.0</v>
      </c>
    </row>
    <row r="3">
      <c r="A3" s="1" t="s">
        <v>10</v>
      </c>
      <c r="B3" s="2">
        <v>46120.0</v>
      </c>
    </row>
    <row r="4">
      <c r="A4" s="1" t="s">
        <v>11</v>
      </c>
      <c r="B4" s="2">
        <v>46142.0</v>
      </c>
    </row>
    <row r="5">
      <c r="A5" s="1" t="s">
        <v>12</v>
      </c>
      <c r="B5" s="2">
        <v>46211.0</v>
      </c>
    </row>
    <row r="6">
      <c r="A6" s="1" t="s">
        <v>13</v>
      </c>
      <c r="B6" s="2">
        <v>46296.0</v>
      </c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0"/>
  </cols>
  <sheetData>
    <row r="1">
      <c r="A1" s="1" t="s">
        <v>2</v>
      </c>
    </row>
    <row r="2">
      <c r="A2" s="4" t="str">
        <f>IFERROR(__xludf.DUMMYFUNCTION("GOOGLEFINANCE(""CURRENCY:USDINR"",""price"",DATE(2026,1,1),TODAY(),""DAILY"")"),"Date")</f>
        <v>Date</v>
      </c>
      <c r="B2" s="4" t="str">
        <f>IFERROR(__xludf.DUMMYFUNCTION("""COMPUTED_VALUE"""),"Close")</f>
        <v>Close</v>
      </c>
    </row>
    <row r="3">
      <c r="A3" s="5">
        <f>IFERROR(__xludf.DUMMYFUNCTION("""COMPUTED_VALUE"""),46023.99861111111)</f>
        <v>46023.99861</v>
      </c>
      <c r="B3" s="4">
        <f>IFERROR(__xludf.DUMMYFUNCTION("""COMPUTED_VALUE"""),89.9619)</f>
        <v>89.9619</v>
      </c>
    </row>
    <row r="4">
      <c r="A4" s="5">
        <f>IFERROR(__xludf.DUMMYFUNCTION("""COMPUTED_VALUE"""),46024.99861111111)</f>
        <v>46024.99861</v>
      </c>
      <c r="B4" s="4">
        <f>IFERROR(__xludf.DUMMYFUNCTION("""COMPUTED_VALUE"""),90.0142)</f>
        <v>90.0142</v>
      </c>
    </row>
    <row r="5">
      <c r="A5" s="5">
        <f>IFERROR(__xludf.DUMMYFUNCTION("""COMPUTED_VALUE"""),46025.99861111111)</f>
        <v>46025.99861</v>
      </c>
      <c r="B5" s="4">
        <f>IFERROR(__xludf.DUMMYFUNCTION("""COMPUTED_VALUE"""),90.0132)</f>
        <v>90.0132</v>
      </c>
    </row>
    <row r="6">
      <c r="A6" s="5">
        <f>IFERROR(__xludf.DUMMYFUNCTION("""COMPUTED_VALUE"""),46026.99861111111)</f>
        <v>46026.99861</v>
      </c>
      <c r="B6" s="4">
        <f>IFERROR(__xludf.DUMMYFUNCTION("""COMPUTED_VALUE"""),90.007)</f>
        <v>90.007</v>
      </c>
    </row>
    <row r="7">
      <c r="A7" s="5">
        <f>IFERROR(__xludf.DUMMYFUNCTION("""COMPUTED_VALUE"""),46027.99861111111)</f>
        <v>46027.99861</v>
      </c>
      <c r="B7" s="4">
        <f>IFERROR(__xludf.DUMMYFUNCTION("""COMPUTED_VALUE"""),90.233)</f>
        <v>90.233</v>
      </c>
    </row>
    <row r="8">
      <c r="A8" s="5">
        <f>IFERROR(__xludf.DUMMYFUNCTION("""COMPUTED_VALUE"""),46028.99861111111)</f>
        <v>46028.99861</v>
      </c>
      <c r="B8" s="4">
        <f>IFERROR(__xludf.DUMMYFUNCTION("""COMPUTED_VALUE"""),90.1661)</f>
        <v>90.1661</v>
      </c>
    </row>
    <row r="9">
      <c r="A9" s="5">
        <f>IFERROR(__xludf.DUMMYFUNCTION("""COMPUTED_VALUE"""),46029.99861111111)</f>
        <v>46029.99861</v>
      </c>
      <c r="B9" s="4">
        <f>IFERROR(__xludf.DUMMYFUNCTION("""COMPUTED_VALUE"""),89.8644)</f>
        <v>89.8644</v>
      </c>
    </row>
    <row r="10">
      <c r="A10" s="5">
        <f>IFERROR(__xludf.DUMMYFUNCTION("""COMPUTED_VALUE"""),46030.99861111111)</f>
        <v>46030.99861</v>
      </c>
      <c r="B10" s="4">
        <f>IFERROR(__xludf.DUMMYFUNCTION("""COMPUTED_VALUE"""),89.9054)</f>
        <v>89.9054</v>
      </c>
    </row>
    <row r="11">
      <c r="A11" s="5">
        <f>IFERROR(__xludf.DUMMYFUNCTION("""COMPUTED_VALUE"""),46031.99861111111)</f>
        <v>46031.99861</v>
      </c>
      <c r="B11" s="4">
        <f>IFERROR(__xludf.DUMMYFUNCTION("""COMPUTED_VALUE"""),90.2681)</f>
        <v>90.2681</v>
      </c>
    </row>
    <row r="12">
      <c r="A12" s="5">
        <f>IFERROR(__xludf.DUMMYFUNCTION("""COMPUTED_VALUE"""),46032.99861111111)</f>
        <v>46032.99861</v>
      </c>
      <c r="B12" s="4">
        <f>IFERROR(__xludf.DUMMYFUNCTION("""COMPUTED_VALUE"""),90.2681)</f>
        <v>90.2681</v>
      </c>
    </row>
    <row r="13">
      <c r="A13" s="5">
        <f>IFERROR(__xludf.DUMMYFUNCTION("""COMPUTED_VALUE"""),46033.99861111111)</f>
        <v>46033.99861</v>
      </c>
      <c r="B13" s="4">
        <f>IFERROR(__xludf.DUMMYFUNCTION("""COMPUTED_VALUE"""),90.236)</f>
        <v>90.236</v>
      </c>
    </row>
    <row r="14">
      <c r="A14" s="5">
        <f>IFERROR(__xludf.DUMMYFUNCTION("""COMPUTED_VALUE"""),46034.99861111111)</f>
        <v>46034.99861</v>
      </c>
      <c r="B14" s="4">
        <f>IFERROR(__xludf.DUMMYFUNCTION("""COMPUTED_VALUE"""),90.1327)</f>
        <v>90.1327</v>
      </c>
    </row>
    <row r="15">
      <c r="A15" s="5">
        <f>IFERROR(__xludf.DUMMYFUNCTION("""COMPUTED_VALUE"""),46035.99861111111)</f>
        <v>46035.99861</v>
      </c>
      <c r="B15" s="4">
        <f>IFERROR(__xludf.DUMMYFUNCTION("""COMPUTED_VALUE"""),90.273)</f>
        <v>90.273</v>
      </c>
    </row>
    <row r="16">
      <c r="A16" s="5">
        <f>IFERROR(__xludf.DUMMYFUNCTION("""COMPUTED_VALUE"""),46036.99861111111)</f>
        <v>46036.99861</v>
      </c>
      <c r="B16" s="4">
        <f>IFERROR(__xludf.DUMMYFUNCTION("""COMPUTED_VALUE"""),90.1832)</f>
        <v>90.1832</v>
      </c>
    </row>
    <row r="17">
      <c r="A17" s="5">
        <f>IFERROR(__xludf.DUMMYFUNCTION("""COMPUTED_VALUE"""),46037.99861111111)</f>
        <v>46037.99861</v>
      </c>
      <c r="B17" s="4">
        <f>IFERROR(__xludf.DUMMYFUNCTION("""COMPUTED_VALUE"""),90.3616)</f>
        <v>90.3616</v>
      </c>
    </row>
    <row r="18">
      <c r="A18" s="5">
        <f>IFERROR(__xludf.DUMMYFUNCTION("""COMPUTED_VALUE"""),46038.99861111111)</f>
        <v>46038.99861</v>
      </c>
      <c r="B18" s="4">
        <f>IFERROR(__xludf.DUMMYFUNCTION("""COMPUTED_VALUE"""),90.5364)</f>
        <v>90.5364</v>
      </c>
    </row>
    <row r="19">
      <c r="A19" s="5">
        <f>IFERROR(__xludf.DUMMYFUNCTION("""COMPUTED_VALUE"""),46039.99861111111)</f>
        <v>46039.99861</v>
      </c>
      <c r="B19" s="4">
        <f>IFERROR(__xludf.DUMMYFUNCTION("""COMPUTED_VALUE"""),90.7944)</f>
        <v>90.7944</v>
      </c>
    </row>
    <row r="20">
      <c r="A20" s="5">
        <f>IFERROR(__xludf.DUMMYFUNCTION("""COMPUTED_VALUE"""),46040.99861111111)</f>
        <v>46040.99861</v>
      </c>
      <c r="B20" s="4">
        <f>IFERROR(__xludf.DUMMYFUNCTION("""COMPUTED_VALUE"""),90.702)</f>
        <v>90.702</v>
      </c>
    </row>
    <row r="21">
      <c r="A21" s="5">
        <f>IFERROR(__xludf.DUMMYFUNCTION("""COMPUTED_VALUE"""),46041.99861111111)</f>
        <v>46041.99861</v>
      </c>
      <c r="B21" s="4">
        <f>IFERROR(__xludf.DUMMYFUNCTION("""COMPUTED_VALUE"""),90.9045)</f>
        <v>90.9045</v>
      </c>
    </row>
    <row r="22">
      <c r="A22" s="5">
        <f>IFERROR(__xludf.DUMMYFUNCTION("""COMPUTED_VALUE"""),46042.99861111111)</f>
        <v>46042.99861</v>
      </c>
      <c r="B22" s="4">
        <f>IFERROR(__xludf.DUMMYFUNCTION("""COMPUTED_VALUE"""),91.1184)</f>
        <v>91.1184</v>
      </c>
    </row>
    <row r="23">
      <c r="A23" s="5">
        <f>IFERROR(__xludf.DUMMYFUNCTION("""COMPUTED_VALUE"""),46043.99861111111)</f>
        <v>46043.99861</v>
      </c>
      <c r="B23" s="4">
        <f>IFERROR(__xludf.DUMMYFUNCTION("""COMPUTED_VALUE"""),91.5369)</f>
        <v>91.5369</v>
      </c>
    </row>
    <row r="24">
      <c r="A24" s="5">
        <f>IFERROR(__xludf.DUMMYFUNCTION("""COMPUTED_VALUE"""),46044.99861111111)</f>
        <v>46044.99861</v>
      </c>
      <c r="B24" s="4">
        <f>IFERROR(__xludf.DUMMYFUNCTION("""COMPUTED_VALUE"""),91.5583)</f>
        <v>91.5583</v>
      </c>
    </row>
    <row r="25">
      <c r="A25" s="5">
        <f>IFERROR(__xludf.DUMMYFUNCTION("""COMPUTED_VALUE"""),46045.99861111111)</f>
        <v>46045.99861</v>
      </c>
      <c r="B25" s="4">
        <f>IFERROR(__xludf.DUMMYFUNCTION("""COMPUTED_VALUE"""),91.467)</f>
        <v>91.467</v>
      </c>
    </row>
    <row r="26">
      <c r="A26" s="5">
        <f>IFERROR(__xludf.DUMMYFUNCTION("""COMPUTED_VALUE"""),46046.99861111111)</f>
        <v>46046.99861</v>
      </c>
      <c r="B26" s="4">
        <f>IFERROR(__xludf.DUMMYFUNCTION("""COMPUTED_VALUE"""),91.501)</f>
        <v>91.501</v>
      </c>
    </row>
    <row r="27">
      <c r="A27" s="5">
        <f>IFERROR(__xludf.DUMMYFUNCTION("""COMPUTED_VALUE"""),46047.99861111111)</f>
        <v>46047.99861</v>
      </c>
      <c r="B27" s="4">
        <f>IFERROR(__xludf.DUMMYFUNCTION("""COMPUTED_VALUE"""),91.501)</f>
        <v>91.501</v>
      </c>
    </row>
    <row r="28">
      <c r="A28" s="5">
        <f>IFERROR(__xludf.DUMMYFUNCTION("""COMPUTED_VALUE"""),46048.99861111111)</f>
        <v>46048.99861</v>
      </c>
      <c r="B28" s="4">
        <f>IFERROR(__xludf.DUMMYFUNCTION("""COMPUTED_VALUE"""),91.7131)</f>
        <v>91.7131</v>
      </c>
    </row>
    <row r="29">
      <c r="A29" s="5">
        <f>IFERROR(__xludf.DUMMYFUNCTION("""COMPUTED_VALUE"""),46049.99861111111)</f>
        <v>46049.99861</v>
      </c>
      <c r="B29" s="4">
        <f>IFERROR(__xludf.DUMMYFUNCTION("""COMPUTED_VALUE"""),91.5343)</f>
        <v>91.5343</v>
      </c>
    </row>
    <row r="30">
      <c r="A30" s="5">
        <f>IFERROR(__xludf.DUMMYFUNCTION("""COMPUTED_VALUE"""),46050.99861111111)</f>
        <v>46050.99861</v>
      </c>
      <c r="B30" s="4">
        <f>IFERROR(__xludf.DUMMYFUNCTION("""COMPUTED_VALUE"""),92.0408)</f>
        <v>92.0408</v>
      </c>
    </row>
    <row r="31">
      <c r="A31" s="5">
        <f>IFERROR(__xludf.DUMMYFUNCTION("""COMPUTED_VALUE"""),46051.99861111111)</f>
        <v>46051.99861</v>
      </c>
      <c r="B31" s="4">
        <f>IFERROR(__xludf.DUMMYFUNCTION("""COMPUTED_VALUE"""),91.7819)</f>
        <v>91.7819</v>
      </c>
    </row>
    <row r="32">
      <c r="A32" s="5">
        <f>IFERROR(__xludf.DUMMYFUNCTION("""COMPUTED_VALUE"""),46052.99861111111)</f>
        <v>46052.99861</v>
      </c>
      <c r="B32" s="4">
        <f>IFERROR(__xludf.DUMMYFUNCTION("""COMPUTED_VALUE"""),91.6823)</f>
        <v>91.6823</v>
      </c>
    </row>
    <row r="33">
      <c r="A33" s="5">
        <f>IFERROR(__xludf.DUMMYFUNCTION("""COMPUTED_VALUE"""),46053.99861111111)</f>
        <v>46053.99861</v>
      </c>
      <c r="B33" s="4">
        <f>IFERROR(__xludf.DUMMYFUNCTION("""COMPUTED_VALUE"""),91.6823)</f>
        <v>91.6823</v>
      </c>
    </row>
    <row r="34">
      <c r="A34" s="5">
        <f>IFERROR(__xludf.DUMMYFUNCTION("""COMPUTED_VALUE"""),46054.99861111111)</f>
        <v>46054.99861</v>
      </c>
      <c r="B34" s="4">
        <f>IFERROR(__xludf.DUMMYFUNCTION("""COMPUTED_VALUE"""),91.687)</f>
        <v>91.687</v>
      </c>
    </row>
    <row r="35">
      <c r="A35" s="5">
        <f>IFERROR(__xludf.DUMMYFUNCTION("""COMPUTED_VALUE"""),46055.99861111111)</f>
        <v>46055.99861</v>
      </c>
      <c r="B35" s="4">
        <f>IFERROR(__xludf.DUMMYFUNCTION("""COMPUTED_VALUE"""),90.2456)</f>
        <v>90.2456</v>
      </c>
    </row>
    <row r="36">
      <c r="A36" s="5">
        <f>IFERROR(__xludf.DUMMYFUNCTION("""COMPUTED_VALUE"""),46056.99861111111)</f>
        <v>46056.99861</v>
      </c>
      <c r="B36" s="4">
        <f>IFERROR(__xludf.DUMMYFUNCTION("""COMPUTED_VALUE"""),90.4229)</f>
        <v>90.4229</v>
      </c>
    </row>
    <row r="37">
      <c r="A37" s="5">
        <f>IFERROR(__xludf.DUMMYFUNCTION("""COMPUTED_VALUE"""),46057.99861111111)</f>
        <v>46057.99861</v>
      </c>
      <c r="B37" s="4">
        <f>IFERROR(__xludf.DUMMYFUNCTION("""COMPUTED_VALUE"""),90.125)</f>
        <v>90.125</v>
      </c>
    </row>
    <row r="38">
      <c r="A38" s="5">
        <f>IFERROR(__xludf.DUMMYFUNCTION("""COMPUTED_VALUE"""),46058.99861111111)</f>
        <v>46058.99861</v>
      </c>
      <c r="B38" s="4">
        <f>IFERROR(__xludf.DUMMYFUNCTION("""COMPUTED_VALUE"""),90.3148)</f>
        <v>90.3148</v>
      </c>
    </row>
    <row r="39">
      <c r="A39" s="5">
        <f>IFERROR(__xludf.DUMMYFUNCTION("""COMPUTED_VALUE"""),46059.99861111111)</f>
        <v>46059.99861</v>
      </c>
      <c r="B39" s="4">
        <f>IFERROR(__xludf.DUMMYFUNCTION("""COMPUTED_VALUE"""),90.588)</f>
        <v>90.588</v>
      </c>
    </row>
    <row r="40">
      <c r="A40" s="5">
        <f>IFERROR(__xludf.DUMMYFUNCTION("""COMPUTED_VALUE"""),46060.99861111111)</f>
        <v>46060.99861</v>
      </c>
      <c r="B40" s="4">
        <f>IFERROR(__xludf.DUMMYFUNCTION("""COMPUTED_VALUE"""),90.588)</f>
        <v>90.588</v>
      </c>
    </row>
    <row r="41">
      <c r="A41" s="5">
        <f>IFERROR(__xludf.DUMMYFUNCTION("""COMPUTED_VALUE"""),46061.99861111111)</f>
        <v>46061.99861</v>
      </c>
      <c r="B41" s="4">
        <f>IFERROR(__xludf.DUMMYFUNCTION("""COMPUTED_VALUE"""),90.588)</f>
        <v>90.588</v>
      </c>
    </row>
    <row r="42">
      <c r="A42" s="5">
        <f>IFERROR(__xludf.DUMMYFUNCTION("""COMPUTED_VALUE"""),46062.99861111111)</f>
        <v>46062.99861</v>
      </c>
      <c r="B42" s="4">
        <f>IFERROR(__xludf.DUMMYFUNCTION("""COMPUTED_VALUE"""),90.8228)</f>
        <v>90.8228</v>
      </c>
    </row>
    <row r="43">
      <c r="A43" s="5">
        <f>IFERROR(__xludf.DUMMYFUNCTION("""COMPUTED_VALUE"""),46063.99861111111)</f>
        <v>46063.99861</v>
      </c>
      <c r="B43" s="4">
        <f>IFERROR(__xludf.DUMMYFUNCTION("""COMPUTED_VALUE"""),90.5879)</f>
        <v>90.5879</v>
      </c>
    </row>
    <row r="44">
      <c r="A44" s="5">
        <f>IFERROR(__xludf.DUMMYFUNCTION("""COMPUTED_VALUE"""),46064.99861111111)</f>
        <v>46064.99861</v>
      </c>
      <c r="B44" s="4">
        <f>IFERROR(__xludf.DUMMYFUNCTION("""COMPUTED_VALUE"""),90.7357)</f>
        <v>90.7357</v>
      </c>
    </row>
    <row r="45">
      <c r="A45" s="5">
        <f>IFERROR(__xludf.DUMMYFUNCTION("""COMPUTED_VALUE"""),46065.99861111111)</f>
        <v>46065.99861</v>
      </c>
      <c r="B45" s="4">
        <f>IFERROR(__xludf.DUMMYFUNCTION("""COMPUTED_VALUE"""),90.5641)</f>
        <v>90.5641</v>
      </c>
    </row>
    <row r="46">
      <c r="A46" s="5">
        <f>IFERROR(__xludf.DUMMYFUNCTION("""COMPUTED_VALUE"""),46066.99861111111)</f>
        <v>46066.99861</v>
      </c>
      <c r="B46" s="4">
        <f>IFERROR(__xludf.DUMMYFUNCTION("""COMPUTED_VALUE"""),90.5052)</f>
        <v>90.5052</v>
      </c>
    </row>
    <row r="47">
      <c r="A47" s="5">
        <f>IFERROR(__xludf.DUMMYFUNCTION("""COMPUTED_VALUE"""),46067.99861111111)</f>
        <v>46067.99861</v>
      </c>
      <c r="B47" s="4">
        <f>IFERROR(__xludf.DUMMYFUNCTION("""COMPUTED_VALUE"""),90.5712)</f>
        <v>90.5712</v>
      </c>
    </row>
    <row r="48">
      <c r="A48" s="5">
        <f>IFERROR(__xludf.DUMMYFUNCTION("""COMPUTED_VALUE"""),46068.99861111111)</f>
        <v>46068.99861</v>
      </c>
      <c r="B48" s="4">
        <f>IFERROR(__xludf.DUMMYFUNCTION("""COMPUTED_VALUE"""),90.5712)</f>
        <v>90.5712</v>
      </c>
    </row>
    <row r="49">
      <c r="A49" s="5">
        <f>IFERROR(__xludf.DUMMYFUNCTION("""COMPUTED_VALUE"""),46069.99861111111)</f>
        <v>46069.99861</v>
      </c>
      <c r="B49" s="4">
        <f>IFERROR(__xludf.DUMMYFUNCTION("""COMPUTED_VALUE"""),90.783)</f>
        <v>90.783</v>
      </c>
    </row>
    <row r="50">
      <c r="A50" s="5">
        <f>IFERROR(__xludf.DUMMYFUNCTION("""COMPUTED_VALUE"""),46070.99861111111)</f>
        <v>46070.99861</v>
      </c>
      <c r="B50" s="4">
        <f>IFERROR(__xludf.DUMMYFUNCTION("""COMPUTED_VALUE"""),90.6262)</f>
        <v>90.6262</v>
      </c>
    </row>
    <row r="51">
      <c r="A51" s="5">
        <f>IFERROR(__xludf.DUMMYFUNCTION("""COMPUTED_VALUE"""),46071.99861111111)</f>
        <v>46071.99861</v>
      </c>
      <c r="B51" s="4">
        <f>IFERROR(__xludf.DUMMYFUNCTION("""COMPUTED_VALUE"""),90.7935)</f>
        <v>90.7935</v>
      </c>
    </row>
    <row r="52">
      <c r="A52" s="5">
        <f>IFERROR(__xludf.DUMMYFUNCTION("""COMPUTED_VALUE"""),46072.99861111111)</f>
        <v>46072.99861</v>
      </c>
      <c r="B52" s="4">
        <f>IFERROR(__xludf.DUMMYFUNCTION("""COMPUTED_VALUE"""),91.0411)</f>
        <v>91.0411</v>
      </c>
    </row>
    <row r="53">
      <c r="A53" s="5">
        <f>IFERROR(__xludf.DUMMYFUNCTION("""COMPUTED_VALUE"""),46073.99861111111)</f>
        <v>46073.99861</v>
      </c>
      <c r="B53" s="4">
        <f>IFERROR(__xludf.DUMMYFUNCTION("""COMPUTED_VALUE"""),90.7266)</f>
        <v>90.7266</v>
      </c>
    </row>
    <row r="54">
      <c r="A54" s="5">
        <f>IFERROR(__xludf.DUMMYFUNCTION("""COMPUTED_VALUE"""),46074.99861111111)</f>
        <v>46074.99861</v>
      </c>
      <c r="B54" s="4">
        <f>IFERROR(__xludf.DUMMYFUNCTION("""COMPUTED_VALUE"""),90.7266)</f>
        <v>90.7266</v>
      </c>
    </row>
    <row r="55">
      <c r="A55" s="5">
        <f>IFERROR(__xludf.DUMMYFUNCTION("""COMPUTED_VALUE"""),46075.99861111111)</f>
        <v>46075.99861</v>
      </c>
      <c r="B55" s="4">
        <f>IFERROR(__xludf.DUMMYFUNCTION("""COMPUTED_VALUE"""),90.7266)</f>
        <v>90.7266</v>
      </c>
    </row>
    <row r="56">
      <c r="A56" s="5">
        <f>IFERROR(__xludf.DUMMYFUNCTION("""COMPUTED_VALUE"""),46076.99861111111)</f>
        <v>46076.99861</v>
      </c>
      <c r="B56" s="4">
        <f>IFERROR(__xludf.DUMMYFUNCTION("""COMPUTED_VALUE"""),91.0201)</f>
        <v>91.0201</v>
      </c>
    </row>
    <row r="57">
      <c r="A57" s="5">
        <f>IFERROR(__xludf.DUMMYFUNCTION("""COMPUTED_VALUE"""),46077.99861111111)</f>
        <v>46077.99861</v>
      </c>
      <c r="B57" s="4">
        <f>IFERROR(__xludf.DUMMYFUNCTION("""COMPUTED_VALUE"""),90.918)</f>
        <v>90.918</v>
      </c>
    </row>
    <row r="58">
      <c r="A58" s="5">
        <f>IFERROR(__xludf.DUMMYFUNCTION("""COMPUTED_VALUE"""),46078.99861111111)</f>
        <v>46078.99861</v>
      </c>
      <c r="B58" s="4">
        <f>IFERROR(__xludf.DUMMYFUNCTION("""COMPUTED_VALUE"""),90.951)</f>
        <v>90.951</v>
      </c>
    </row>
    <row r="59">
      <c r="A59" s="5">
        <f>IFERROR(__xludf.DUMMYFUNCTION("""COMPUTED_VALUE"""),46079.99861111111)</f>
        <v>46079.99861</v>
      </c>
      <c r="B59" s="4">
        <f>IFERROR(__xludf.DUMMYFUNCTION("""COMPUTED_VALUE"""),91.0074)</f>
        <v>91.0074</v>
      </c>
    </row>
    <row r="60">
      <c r="A60" s="5">
        <f>IFERROR(__xludf.DUMMYFUNCTION("""COMPUTED_VALUE"""),46080.99861111111)</f>
        <v>46080.99861</v>
      </c>
      <c r="B60" s="4">
        <f>IFERROR(__xludf.DUMMYFUNCTION("""COMPUTED_VALUE"""),91.0806)</f>
        <v>91.0806</v>
      </c>
    </row>
    <row r="61">
      <c r="A61" s="5">
        <f>IFERROR(__xludf.DUMMYFUNCTION("""COMPUTED_VALUE"""),46081.99861111111)</f>
        <v>46081.99861</v>
      </c>
      <c r="B61" s="4">
        <f>IFERROR(__xludf.DUMMYFUNCTION("""COMPUTED_VALUE"""),91.069)</f>
        <v>91.069</v>
      </c>
    </row>
    <row r="62">
      <c r="A62" s="5">
        <f>IFERROR(__xludf.DUMMYFUNCTION("""COMPUTED_VALUE"""),46082.99861111111)</f>
        <v>46082.99861</v>
      </c>
      <c r="B62" s="4">
        <f>IFERROR(__xludf.DUMMYFUNCTION("""COMPUTED_VALUE"""),91.0796)</f>
        <v>91.0796</v>
      </c>
    </row>
    <row r="63">
      <c r="A63" s="5">
        <f>IFERROR(__xludf.DUMMYFUNCTION("""COMPUTED_VALUE"""),46083.99861111111)</f>
        <v>46083.99861</v>
      </c>
      <c r="B63" s="4">
        <f>IFERROR(__xludf.DUMMYFUNCTION("""COMPUTED_VALUE"""),91.5634)</f>
        <v>91.5634</v>
      </c>
    </row>
    <row r="64">
      <c r="A64" s="5">
        <f>IFERROR(__xludf.DUMMYFUNCTION("""COMPUTED_VALUE"""),46084.99861111111)</f>
        <v>46084.99861</v>
      </c>
      <c r="B64" s="4">
        <f>IFERROR(__xludf.DUMMYFUNCTION("""COMPUTED_VALUE"""),92.0086)</f>
        <v>92.0086</v>
      </c>
    </row>
    <row r="65">
      <c r="A65" s="5">
        <f>IFERROR(__xludf.DUMMYFUNCTION("""COMPUTED_VALUE"""),46085.99861111111)</f>
        <v>46085.99861</v>
      </c>
      <c r="B65" s="4">
        <f>IFERROR(__xludf.DUMMYFUNCTION("""COMPUTED_VALUE"""),92.123)</f>
        <v>92.123</v>
      </c>
    </row>
    <row r="66">
      <c r="A66" s="5">
        <f>IFERROR(__xludf.DUMMYFUNCTION("""COMPUTED_VALUE"""),46086.99861111111)</f>
        <v>46086.99861</v>
      </c>
      <c r="B66" s="4">
        <f>IFERROR(__xludf.DUMMYFUNCTION("""COMPUTED_VALUE"""),91.7869)</f>
        <v>91.7869</v>
      </c>
    </row>
    <row r="67">
      <c r="A67" s="5">
        <f>IFERROR(__xludf.DUMMYFUNCTION("""COMPUTED_VALUE"""),46087.99861111111)</f>
        <v>46087.99861</v>
      </c>
      <c r="B67" s="4">
        <f>IFERROR(__xludf.DUMMYFUNCTION("""COMPUTED_VALUE"""),91.9402)</f>
        <v>91.9402</v>
      </c>
    </row>
    <row r="68">
      <c r="A68" s="5">
        <f>IFERROR(__xludf.DUMMYFUNCTION("""COMPUTED_VALUE"""),46088.99861111111)</f>
        <v>46088.99861</v>
      </c>
      <c r="B68" s="4">
        <f>IFERROR(__xludf.DUMMYFUNCTION("""COMPUTED_VALUE"""),91.9362)</f>
        <v>91.9362</v>
      </c>
    </row>
    <row r="69">
      <c r="A69" s="5">
        <f>IFERROR(__xludf.DUMMYFUNCTION("""COMPUTED_VALUE"""),46089.99861111111)</f>
        <v>46089.99861</v>
      </c>
      <c r="B69" s="4">
        <f>IFERROR(__xludf.DUMMYFUNCTION("""COMPUTED_VALUE"""),91.9362)</f>
        <v>91.9362</v>
      </c>
    </row>
    <row r="70">
      <c r="A70" s="5">
        <f>IFERROR(__xludf.DUMMYFUNCTION("""COMPUTED_VALUE"""),46090.99861111111)</f>
        <v>46090.99861</v>
      </c>
      <c r="B70" s="4">
        <f>IFERROR(__xludf.DUMMYFUNCTION("""COMPUTED_VALUE"""),91.2207)</f>
        <v>91.2207</v>
      </c>
    </row>
    <row r="71">
      <c r="A71" s="5">
        <f>IFERROR(__xludf.DUMMYFUNCTION("""COMPUTED_VALUE"""),46091.99861111111)</f>
        <v>46091.99861</v>
      </c>
      <c r="B71" s="4">
        <f>IFERROR(__xludf.DUMMYFUNCTION("""COMPUTED_VALUE"""),92.1651)</f>
        <v>92.1651</v>
      </c>
    </row>
    <row r="72">
      <c r="A72" s="5">
        <f>IFERROR(__xludf.DUMMYFUNCTION("""COMPUTED_VALUE"""),46092.99861111111)</f>
        <v>46092.99861</v>
      </c>
      <c r="B72" s="4">
        <f>IFERROR(__xludf.DUMMYFUNCTION("""COMPUTED_VALUE"""),92.2288)</f>
        <v>92.2288</v>
      </c>
    </row>
    <row r="73">
      <c r="A73" s="5">
        <f>IFERROR(__xludf.DUMMYFUNCTION("""COMPUTED_VALUE"""),46093.99861111111)</f>
        <v>46093.99861</v>
      </c>
      <c r="B73" s="4">
        <f>IFERROR(__xludf.DUMMYFUNCTION("""COMPUTED_VALUE"""),92.3899)</f>
        <v>92.3899</v>
      </c>
    </row>
    <row r="74">
      <c r="A74" s="5">
        <f>IFERROR(__xludf.DUMMYFUNCTION("""COMPUTED_VALUE"""),46094.99861111111)</f>
        <v>46094.99861</v>
      </c>
      <c r="B74" s="4">
        <f>IFERROR(__xludf.DUMMYFUNCTION("""COMPUTED_VALUE"""),92.5976)</f>
        <v>92.5976</v>
      </c>
    </row>
    <row r="75">
      <c r="A75" s="5">
        <f>IFERROR(__xludf.DUMMYFUNCTION("""COMPUTED_VALUE"""),46095.99861111111)</f>
        <v>46095.99861</v>
      </c>
      <c r="B75" s="4">
        <f>IFERROR(__xludf.DUMMYFUNCTION("""COMPUTED_VALUE"""),92.5636)</f>
        <v>92.5636</v>
      </c>
    </row>
    <row r="76">
      <c r="A76" s="5">
        <f>IFERROR(__xludf.DUMMYFUNCTION("""COMPUTED_VALUE"""),46096.99861111111)</f>
        <v>46096.99861</v>
      </c>
      <c r="B76" s="4">
        <f>IFERROR(__xludf.DUMMYFUNCTION("""COMPUTED_VALUE"""),92.5636)</f>
        <v>92.5636</v>
      </c>
    </row>
    <row r="77">
      <c r="A77" s="5">
        <f>IFERROR(__xludf.DUMMYFUNCTION("""COMPUTED_VALUE"""),46097.99861111111)</f>
        <v>46097.99861</v>
      </c>
      <c r="B77" s="4">
        <f>IFERROR(__xludf.DUMMYFUNCTION("""COMPUTED_VALUE"""),92.2827)</f>
        <v>92.2827</v>
      </c>
    </row>
    <row r="78">
      <c r="A78" s="5">
        <f>IFERROR(__xludf.DUMMYFUNCTION("""COMPUTED_VALUE"""),46098.99861111111)</f>
        <v>46098.99861</v>
      </c>
      <c r="B78" s="4">
        <f>IFERROR(__xludf.DUMMYFUNCTION("""COMPUTED_VALUE"""),92.3913)</f>
        <v>92.3913</v>
      </c>
    </row>
    <row r="79">
      <c r="A79" s="5">
        <f>IFERROR(__xludf.DUMMYFUNCTION("""COMPUTED_VALUE"""),46099.99861111111)</f>
        <v>46099.99861</v>
      </c>
      <c r="B79" s="4">
        <f>IFERROR(__xludf.DUMMYFUNCTION("""COMPUTED_VALUE"""),93.2466)</f>
        <v>93.2466</v>
      </c>
    </row>
    <row r="80">
      <c r="A80" s="5">
        <f>IFERROR(__xludf.DUMMYFUNCTION("""COMPUTED_VALUE"""),46100.99861111111)</f>
        <v>46100.99861</v>
      </c>
      <c r="B80" s="4">
        <f>IFERROR(__xludf.DUMMYFUNCTION("""COMPUTED_VALUE"""),93.0823)</f>
        <v>93.0823</v>
      </c>
    </row>
    <row r="81">
      <c r="A81" s="5">
        <f>IFERROR(__xludf.DUMMYFUNCTION("""COMPUTED_VALUE"""),46101.99861111111)</f>
        <v>46101.99861</v>
      </c>
      <c r="B81" s="4">
        <f>IFERROR(__xludf.DUMMYFUNCTION("""COMPUTED_VALUE"""),93.9053)</f>
        <v>93.9053</v>
      </c>
    </row>
    <row r="82">
      <c r="A82" s="5">
        <f>IFERROR(__xludf.DUMMYFUNCTION("""COMPUTED_VALUE"""),46102.99861111111)</f>
        <v>46102.99861</v>
      </c>
      <c r="B82" s="4">
        <f>IFERROR(__xludf.DUMMYFUNCTION("""COMPUTED_VALUE"""),93.8953)</f>
        <v>93.8953</v>
      </c>
    </row>
    <row r="83">
      <c r="A83" s="5">
        <f>IFERROR(__xludf.DUMMYFUNCTION("""COMPUTED_VALUE"""),46103.99861111111)</f>
        <v>46103.99861</v>
      </c>
      <c r="B83" s="4">
        <f>IFERROR(__xludf.DUMMYFUNCTION("""COMPUTED_VALUE"""),93.8953)</f>
        <v>93.8953</v>
      </c>
    </row>
    <row r="84">
      <c r="A84" s="5">
        <f>IFERROR(__xludf.DUMMYFUNCTION("""COMPUTED_VALUE"""),46104.99861111111)</f>
        <v>46104.99861</v>
      </c>
      <c r="B84" s="4">
        <f>IFERROR(__xludf.DUMMYFUNCTION("""COMPUTED_VALUE"""),93.2437)</f>
        <v>93.2437</v>
      </c>
    </row>
    <row r="85">
      <c r="A85" s="5">
        <f>IFERROR(__xludf.DUMMYFUNCTION("""COMPUTED_VALUE"""),46105.99861111111)</f>
        <v>46105.99861</v>
      </c>
      <c r="B85" s="4">
        <f>IFERROR(__xludf.DUMMYFUNCTION("""COMPUTED_VALUE"""),94.2997)</f>
        <v>94.2997</v>
      </c>
    </row>
    <row r="86">
      <c r="A86" s="5">
        <f>IFERROR(__xludf.DUMMYFUNCTION("""COMPUTED_VALUE"""),46106.99861111111)</f>
        <v>46106.99861</v>
      </c>
      <c r="B86" s="4">
        <f>IFERROR(__xludf.DUMMYFUNCTION("""COMPUTED_VALUE"""),94.6937)</f>
        <v>94.6937</v>
      </c>
    </row>
    <row r="87">
      <c r="A87" s="5">
        <f>IFERROR(__xludf.DUMMYFUNCTION("""COMPUTED_VALUE"""),46107.99861111111)</f>
        <v>46107.99861</v>
      </c>
      <c r="B87" s="4">
        <f>IFERROR(__xludf.DUMMYFUNCTION("""COMPUTED_VALUE"""),94.3095)</f>
        <v>94.3095</v>
      </c>
    </row>
    <row r="88">
      <c r="A88" s="5">
        <f>IFERROR(__xludf.DUMMYFUNCTION("""COMPUTED_VALUE"""),46108.99861111111)</f>
        <v>46108.99861</v>
      </c>
      <c r="B88" s="4">
        <f>IFERROR(__xludf.DUMMYFUNCTION("""COMPUTED_VALUE"""),94.8609)</f>
        <v>94.8609</v>
      </c>
    </row>
    <row r="89">
      <c r="A89" s="5">
        <f>IFERROR(__xludf.DUMMYFUNCTION("""COMPUTED_VALUE"""),46109.99861111111)</f>
        <v>46109.99861</v>
      </c>
      <c r="B89" s="4">
        <f>IFERROR(__xludf.DUMMYFUNCTION("""COMPUTED_VALUE"""),94.775)</f>
        <v>94.775</v>
      </c>
    </row>
    <row r="90">
      <c r="A90" s="5">
        <f>IFERROR(__xludf.DUMMYFUNCTION("""COMPUTED_VALUE"""),46110.99861111111)</f>
        <v>46110.99861</v>
      </c>
      <c r="B90" s="4">
        <f>IFERROR(__xludf.DUMMYFUNCTION("""COMPUTED_VALUE"""),94.7818)</f>
        <v>94.7818</v>
      </c>
    </row>
    <row r="91">
      <c r="A91" s="5">
        <f>IFERROR(__xludf.DUMMYFUNCTION("""COMPUTED_VALUE"""),46111.99861111111)</f>
        <v>46111.99861</v>
      </c>
      <c r="B91" s="4">
        <f>IFERROR(__xludf.DUMMYFUNCTION("""COMPUTED_VALUE"""),94.3559)</f>
        <v>94.3559</v>
      </c>
    </row>
    <row r="92">
      <c r="A92" s="5">
        <f>IFERROR(__xludf.DUMMYFUNCTION("""COMPUTED_VALUE"""),46112.99861111111)</f>
        <v>46112.99861</v>
      </c>
      <c r="B92" s="4">
        <f>IFERROR(__xludf.DUMMYFUNCTION("""COMPUTED_VALUE"""),93.4843)</f>
        <v>93.4843</v>
      </c>
    </row>
    <row r="93">
      <c r="A93" s="5">
        <f>IFERROR(__xludf.DUMMYFUNCTION("""COMPUTED_VALUE"""),46113.99861111111)</f>
        <v>46113.99861</v>
      </c>
      <c r="B93" s="4">
        <f>IFERROR(__xludf.DUMMYFUNCTION("""COMPUTED_VALUE"""),92.6426)</f>
        <v>92.6426</v>
      </c>
    </row>
    <row r="94">
      <c r="A94" s="5">
        <f>IFERROR(__xludf.DUMMYFUNCTION("""COMPUTED_VALUE"""),46114.99861111111)</f>
        <v>46114.99861</v>
      </c>
      <c r="B94" s="4">
        <f>IFERROR(__xludf.DUMMYFUNCTION("""COMPUTED_VALUE"""),92.9736)</f>
        <v>92.9736</v>
      </c>
    </row>
    <row r="95">
      <c r="A95" s="5">
        <f>IFERROR(__xludf.DUMMYFUNCTION("""COMPUTED_VALUE"""),46115.99861111111)</f>
        <v>46115.99861</v>
      </c>
      <c r="B95" s="4">
        <f>IFERROR(__xludf.DUMMYFUNCTION("""COMPUTED_VALUE"""),92.7634)</f>
        <v>92.7634</v>
      </c>
    </row>
    <row r="96">
      <c r="A96" s="5">
        <f>IFERROR(__xludf.DUMMYFUNCTION("""COMPUTED_VALUE"""),46116.99861111111)</f>
        <v>46116.99861</v>
      </c>
      <c r="B96" s="4">
        <f>IFERROR(__xludf.DUMMYFUNCTION("""COMPUTED_VALUE"""),92.7634)</f>
        <v>92.7634</v>
      </c>
    </row>
    <row r="97">
      <c r="A97" s="5">
        <f>IFERROR(__xludf.DUMMYFUNCTION("""COMPUTED_VALUE"""),46117.99861111111)</f>
        <v>46117.99861</v>
      </c>
      <c r="B97" s="4">
        <f>IFERROR(__xludf.DUMMYFUNCTION("""COMPUTED_VALUE"""),92.971)</f>
        <v>92.971</v>
      </c>
    </row>
    <row r="98">
      <c r="A98" s="5">
        <f>IFERROR(__xludf.DUMMYFUNCTION("""COMPUTED_VALUE"""),46118.99861111111)</f>
        <v>46118.99861</v>
      </c>
      <c r="B98" s="4">
        <f>IFERROR(__xludf.DUMMYFUNCTION("""COMPUTED_VALUE"""),92.8166)</f>
        <v>92.8166</v>
      </c>
    </row>
    <row r="99">
      <c r="A99" s="5">
        <f>IFERROR(__xludf.DUMMYFUNCTION("""COMPUTED_VALUE"""),46119.99861111111)</f>
        <v>46119.99861</v>
      </c>
      <c r="B99" s="4">
        <f>IFERROR(__xludf.DUMMYFUNCTION("""COMPUTED_VALUE"""),92.8602)</f>
        <v>92.8602</v>
      </c>
    </row>
    <row r="100">
      <c r="A100" s="5">
        <f>IFERROR(__xludf.DUMMYFUNCTION("""COMPUTED_VALUE"""),46120.99861111111)</f>
        <v>46120.99861</v>
      </c>
      <c r="B100" s="4">
        <f>IFERROR(__xludf.DUMMYFUNCTION("""COMPUTED_VALUE"""),92.2748)</f>
        <v>92.2748</v>
      </c>
    </row>
    <row r="101">
      <c r="A101" s="5">
        <f>IFERROR(__xludf.DUMMYFUNCTION("""COMPUTED_VALUE"""),46121.99861111111)</f>
        <v>46121.99861</v>
      </c>
      <c r="B101" s="4">
        <f>IFERROR(__xludf.DUMMYFUNCTION("""COMPUTED_VALUE"""),92.4698)</f>
        <v>92.4698</v>
      </c>
    </row>
    <row r="102">
      <c r="A102" s="5">
        <f>IFERROR(__xludf.DUMMYFUNCTION("""COMPUTED_VALUE"""),46122.99861111111)</f>
        <v>46122.99861</v>
      </c>
      <c r="B102" s="4">
        <f>IFERROR(__xludf.DUMMYFUNCTION("""COMPUTED_VALUE"""),93.106)</f>
        <v>93.106</v>
      </c>
    </row>
    <row r="103">
      <c r="A103" s="5">
        <f>IFERROR(__xludf.DUMMYFUNCTION("""COMPUTED_VALUE"""),46123.99861111111)</f>
        <v>46123.99861</v>
      </c>
      <c r="B103" s="4">
        <f>IFERROR(__xludf.DUMMYFUNCTION("""COMPUTED_VALUE"""),93.083)</f>
        <v>93.083</v>
      </c>
    </row>
    <row r="104">
      <c r="A104" s="5">
        <f>IFERROR(__xludf.DUMMYFUNCTION("""COMPUTED_VALUE"""),46124.99861111111)</f>
        <v>46124.99861</v>
      </c>
      <c r="B104" s="4">
        <f>IFERROR(__xludf.DUMMYFUNCTION("""COMPUTED_VALUE"""),94.5088)</f>
        <v>94.5088</v>
      </c>
    </row>
    <row r="105">
      <c r="A105" s="5">
        <f>IFERROR(__xludf.DUMMYFUNCTION("""COMPUTED_VALUE"""),46125.99861111111)</f>
        <v>46125.99861</v>
      </c>
      <c r="B105" s="4">
        <f>IFERROR(__xludf.DUMMYFUNCTION("""COMPUTED_VALUE"""),94.9468)</f>
        <v>94.9468</v>
      </c>
    </row>
    <row r="106">
      <c r="A106" s="5">
        <f>IFERROR(__xludf.DUMMYFUNCTION("""COMPUTED_VALUE"""),46126.99861111111)</f>
        <v>46126.99861</v>
      </c>
      <c r="B106" s="4">
        <f>IFERROR(__xludf.DUMMYFUNCTION("""COMPUTED_VALUE"""),93.1654)</f>
        <v>93.1654</v>
      </c>
    </row>
    <row r="107">
      <c r="A107" s="5">
        <f>IFERROR(__xludf.DUMMYFUNCTION("""COMPUTED_VALUE"""),46127.99861111111)</f>
        <v>46127.99861</v>
      </c>
      <c r="B107" s="4">
        <f>IFERROR(__xludf.DUMMYFUNCTION("""COMPUTED_VALUE"""),93.3868)</f>
        <v>93.3868</v>
      </c>
    </row>
    <row r="108">
      <c r="A108" s="5">
        <f>IFERROR(__xludf.DUMMYFUNCTION("""COMPUTED_VALUE"""),46128.99861111111)</f>
        <v>46128.99861</v>
      </c>
      <c r="B108" s="4">
        <f>IFERROR(__xludf.DUMMYFUNCTION("""COMPUTED_VALUE"""),93.0479)</f>
        <v>93.0479</v>
      </c>
    </row>
    <row r="109">
      <c r="A109" s="5">
        <f>IFERROR(__xludf.DUMMYFUNCTION("""COMPUTED_VALUE"""),46129.99861111111)</f>
        <v>46129.99861</v>
      </c>
      <c r="B109" s="4">
        <f>IFERROR(__xludf.DUMMYFUNCTION("""COMPUTED_VALUE"""),92.6022)</f>
        <v>92.6022</v>
      </c>
    </row>
    <row r="110">
      <c r="A110" s="5">
        <f>IFERROR(__xludf.DUMMYFUNCTION("""COMPUTED_VALUE"""),46130.99861111111)</f>
        <v>46130.99861</v>
      </c>
      <c r="B110" s="4">
        <f>IFERROR(__xludf.DUMMYFUNCTION("""COMPUTED_VALUE"""),92.6022)</f>
        <v>92.6022</v>
      </c>
    </row>
    <row r="111">
      <c r="A111" s="5">
        <f>IFERROR(__xludf.DUMMYFUNCTION("""COMPUTED_VALUE"""),46131.99861111111)</f>
        <v>46131.99861</v>
      </c>
      <c r="B111" s="4">
        <f>IFERROR(__xludf.DUMMYFUNCTION("""COMPUTED_VALUE"""),92.6033)</f>
        <v>92.6033</v>
      </c>
    </row>
    <row r="112">
      <c r="A112" s="5">
        <f>IFERROR(__xludf.DUMMYFUNCTION("""COMPUTED_VALUE"""),46132.99861111111)</f>
        <v>46132.99861</v>
      </c>
      <c r="B112" s="4">
        <f>IFERROR(__xludf.DUMMYFUNCTION("""COMPUTED_VALUE"""),93.1236)</f>
        <v>93.1236</v>
      </c>
    </row>
    <row r="113">
      <c r="A113" s="5">
        <f>IFERROR(__xludf.DUMMYFUNCTION("""COMPUTED_VALUE"""),46133.99861111111)</f>
        <v>46133.99861</v>
      </c>
      <c r="B113" s="4">
        <f>IFERROR(__xludf.DUMMYFUNCTION("""COMPUTED_VALUE"""),93.6228)</f>
        <v>93.6228</v>
      </c>
    </row>
    <row r="114">
      <c r="A114" s="5">
        <f>IFERROR(__xludf.DUMMYFUNCTION("""COMPUTED_VALUE"""),46134.99861111111)</f>
        <v>46134.99861</v>
      </c>
      <c r="B114" s="4">
        <f>IFERROR(__xludf.DUMMYFUNCTION("""COMPUTED_VALUE"""),93.8005)</f>
        <v>93.8005</v>
      </c>
    </row>
    <row r="115">
      <c r="A115" s="5">
        <f>IFERROR(__xludf.DUMMYFUNCTION("""COMPUTED_VALUE"""),46135.99861111111)</f>
        <v>46135.99861</v>
      </c>
      <c r="B115" s="4">
        <f>IFERROR(__xludf.DUMMYFUNCTION("""COMPUTED_VALUE"""),94.1129)</f>
        <v>94.1129</v>
      </c>
    </row>
    <row r="116">
      <c r="A116" s="5">
        <f>IFERROR(__xludf.DUMMYFUNCTION("""COMPUTED_VALUE"""),46136.99861111111)</f>
        <v>46136.99861</v>
      </c>
      <c r="B116" s="4">
        <f>IFERROR(__xludf.DUMMYFUNCTION("""COMPUTED_VALUE"""),93.9136)</f>
        <v>93.9136</v>
      </c>
    </row>
    <row r="117">
      <c r="A117" s="5">
        <f>IFERROR(__xludf.DUMMYFUNCTION("""COMPUTED_VALUE"""),46137.99861111111)</f>
        <v>46137.99861</v>
      </c>
      <c r="B117" s="4">
        <f>IFERROR(__xludf.DUMMYFUNCTION("""COMPUTED_VALUE"""),94.243)</f>
        <v>94.243</v>
      </c>
    </row>
    <row r="118">
      <c r="A118" s="5">
        <f>IFERROR(__xludf.DUMMYFUNCTION("""COMPUTED_VALUE"""),46138.99861111111)</f>
        <v>46138.99861</v>
      </c>
      <c r="B118" s="4">
        <f>IFERROR(__xludf.DUMMYFUNCTION("""COMPUTED_VALUE"""),94.2503)</f>
        <v>94.2503</v>
      </c>
    </row>
    <row r="119">
      <c r="A119" s="5">
        <f>IFERROR(__xludf.DUMMYFUNCTION("""COMPUTED_VALUE"""),46139.99861111111)</f>
        <v>46139.99861</v>
      </c>
      <c r="B119" s="4">
        <f>IFERROR(__xludf.DUMMYFUNCTION("""COMPUTED_VALUE"""),94.2585)</f>
        <v>94.2585</v>
      </c>
    </row>
    <row r="120">
      <c r="A120" s="5">
        <f>IFERROR(__xludf.DUMMYFUNCTION("""COMPUTED_VALUE"""),46140.99861111111)</f>
        <v>46140.99861</v>
      </c>
      <c r="B120" s="4">
        <f>IFERROR(__xludf.DUMMYFUNCTION("""COMPUTED_VALUE"""),94.6455)</f>
        <v>94.6455</v>
      </c>
    </row>
    <row r="121">
      <c r="A121" s="5">
        <f>IFERROR(__xludf.DUMMYFUNCTION("""COMPUTED_VALUE"""),46141.99861111111)</f>
        <v>46141.99861</v>
      </c>
      <c r="B121" s="4">
        <f>IFERROR(__xludf.DUMMYFUNCTION("""COMPUTED_VALUE"""),94.9166)</f>
        <v>94.9166</v>
      </c>
    </row>
    <row r="122">
      <c r="A122" s="5">
        <f>IFERROR(__xludf.DUMMYFUNCTION("""COMPUTED_VALUE"""),46142.99861111111)</f>
        <v>46142.99861</v>
      </c>
      <c r="B122" s="4">
        <f>IFERROR(__xludf.DUMMYFUNCTION("""COMPUTED_VALUE"""),94.7591)</f>
        <v>94.7591</v>
      </c>
    </row>
    <row r="123">
      <c r="A123" s="5">
        <f>IFERROR(__xludf.DUMMYFUNCTION("""COMPUTED_VALUE"""),46143.99861111111)</f>
        <v>46143.99861</v>
      </c>
      <c r="B123" s="4">
        <f>IFERROR(__xludf.DUMMYFUNCTION("""COMPUTED_VALUE"""),94.7753)</f>
        <v>94.7753</v>
      </c>
    </row>
    <row r="124">
      <c r="A124" s="5">
        <f>IFERROR(__xludf.DUMMYFUNCTION("""COMPUTED_VALUE"""),46144.99861111111)</f>
        <v>46144.99861</v>
      </c>
      <c r="B124" s="4">
        <f>IFERROR(__xludf.DUMMYFUNCTION("""COMPUTED_VALUE"""),94.903)</f>
        <v>94.903</v>
      </c>
    </row>
    <row r="125">
      <c r="A125" s="5">
        <f>IFERROR(__xludf.DUMMYFUNCTION("""COMPUTED_VALUE"""),46145.99861111111)</f>
        <v>46145.99861</v>
      </c>
      <c r="B125" s="4">
        <f>IFERROR(__xludf.DUMMYFUNCTION("""COMPUTED_VALUE"""),94.903)</f>
        <v>94.903</v>
      </c>
    </row>
    <row r="126">
      <c r="A126" s="5">
        <f>IFERROR(__xludf.DUMMYFUNCTION("""COMPUTED_VALUE"""),46146.99861111111)</f>
        <v>46146.99861</v>
      </c>
      <c r="B126" s="4">
        <f>IFERROR(__xludf.DUMMYFUNCTION("""COMPUTED_VALUE"""),95.2594)</f>
        <v>95.2594</v>
      </c>
    </row>
    <row r="127">
      <c r="A127" s="5">
        <f>IFERROR(__xludf.DUMMYFUNCTION("""COMPUTED_VALUE"""),46147.99861111111)</f>
        <v>46147.99861</v>
      </c>
      <c r="B127" s="4">
        <f>IFERROR(__xludf.DUMMYFUNCTION("""COMPUTED_VALUE"""),95.183)</f>
        <v>95.183</v>
      </c>
    </row>
    <row r="128">
      <c r="A128" s="5">
        <f>IFERROR(__xludf.DUMMYFUNCTION("""COMPUTED_VALUE"""),46148.99861111111)</f>
        <v>46148.99861</v>
      </c>
      <c r="B128" s="4">
        <f>IFERROR(__xludf.DUMMYFUNCTION("""COMPUTED_VALUE"""),94.608)</f>
        <v>94.608</v>
      </c>
    </row>
    <row r="129">
      <c r="A129" s="5">
        <f>IFERROR(__xludf.DUMMYFUNCTION("""COMPUTED_VALUE"""),46149.99861111111)</f>
        <v>46149.99861</v>
      </c>
      <c r="B129" s="4">
        <f>IFERROR(__xludf.DUMMYFUNCTION("""COMPUTED_VALUE"""),94.253)</f>
        <v>94.253</v>
      </c>
    </row>
    <row r="130">
      <c r="A130" s="5">
        <f>IFERROR(__xludf.DUMMYFUNCTION("""COMPUTED_VALUE"""),46150.99861111111)</f>
        <v>46150.99861</v>
      </c>
      <c r="B130" s="4">
        <f>IFERROR(__xludf.DUMMYFUNCTION("""COMPUTED_VALUE"""),94.418)</f>
        <v>94.418</v>
      </c>
    </row>
    <row r="131">
      <c r="A131" s="5">
        <f>IFERROR(__xludf.DUMMYFUNCTION("""COMPUTED_VALUE"""),46151.99861111111)</f>
        <v>46151.99861</v>
      </c>
      <c r="B131" s="4">
        <f>IFERROR(__xludf.DUMMYFUNCTION("""COMPUTED_VALUE"""),94.418)</f>
        <v>94.418</v>
      </c>
    </row>
    <row r="132">
      <c r="A132" s="5">
        <f>IFERROR(__xludf.DUMMYFUNCTION("""COMPUTED_VALUE"""),46152.99861111111)</f>
        <v>46152.99861</v>
      </c>
      <c r="B132" s="4">
        <f>IFERROR(__xludf.DUMMYFUNCTION("""COMPUTED_VALUE"""),94.4253)</f>
        <v>94.4253</v>
      </c>
    </row>
    <row r="133">
      <c r="A133" s="5">
        <f>IFERROR(__xludf.DUMMYFUNCTION("""COMPUTED_VALUE"""),46153.99861111111)</f>
        <v>46153.99861</v>
      </c>
      <c r="B133" s="4">
        <f>IFERROR(__xludf.DUMMYFUNCTION("""COMPUTED_VALUE"""),95.3914)</f>
        <v>95.3914</v>
      </c>
    </row>
    <row r="134">
      <c r="A134" s="5">
        <f>IFERROR(__xludf.DUMMYFUNCTION("""COMPUTED_VALUE"""),46154.99861111111)</f>
        <v>46154.99861</v>
      </c>
      <c r="B134" s="4">
        <f>IFERROR(__xludf.DUMMYFUNCTION("""COMPUTED_VALUE"""),95.633)</f>
        <v>95.633</v>
      </c>
    </row>
    <row r="135">
      <c r="A135" s="5">
        <f>IFERROR(__xludf.DUMMYFUNCTION("""COMPUTED_VALUE"""),46155.99861111111)</f>
        <v>46155.99861</v>
      </c>
      <c r="B135" s="4">
        <f>IFERROR(__xludf.DUMMYFUNCTION("""COMPUTED_VALUE"""),95.6958)</f>
        <v>95.6958</v>
      </c>
    </row>
    <row r="136">
      <c r="A136" s="5">
        <f>IFERROR(__xludf.DUMMYFUNCTION("""COMPUTED_VALUE"""),46156.99861111111)</f>
        <v>46156.99861</v>
      </c>
      <c r="B136" s="4">
        <f>IFERROR(__xludf.DUMMYFUNCTION("""COMPUTED_VALUE"""),95.7099)</f>
        <v>95.7099</v>
      </c>
    </row>
    <row r="137">
      <c r="A137" s="5">
        <f>IFERROR(__xludf.DUMMYFUNCTION("""COMPUTED_VALUE"""),46157.99861111111)</f>
        <v>46157.99861</v>
      </c>
      <c r="B137" s="4">
        <f>IFERROR(__xludf.DUMMYFUNCTION("""COMPUTED_VALUE"""),95.9908)</f>
        <v>95.9908</v>
      </c>
    </row>
    <row r="138">
      <c r="A138" s="5">
        <f>IFERROR(__xludf.DUMMYFUNCTION("""COMPUTED_VALUE"""),46158.99861111111)</f>
        <v>46158.99861</v>
      </c>
      <c r="B138" s="4">
        <f>IFERROR(__xludf.DUMMYFUNCTION("""COMPUTED_VALUE"""),95.963)</f>
        <v>95.963</v>
      </c>
    </row>
    <row r="139">
      <c r="A139" s="5">
        <f>IFERROR(__xludf.DUMMYFUNCTION("""COMPUTED_VALUE"""),46159.99861111111)</f>
        <v>46159.99861</v>
      </c>
      <c r="B139" s="4">
        <f>IFERROR(__xludf.DUMMYFUNCTION("""COMPUTED_VALUE"""),95.9703)</f>
        <v>95.9703</v>
      </c>
    </row>
    <row r="140">
      <c r="A140" s="5">
        <f>IFERROR(__xludf.DUMMYFUNCTION("""COMPUTED_VALUE"""),46160.99861111111)</f>
        <v>46160.99861</v>
      </c>
      <c r="B140" s="4">
        <f>IFERROR(__xludf.DUMMYFUNCTION("""COMPUTED_VALUE"""),96.2702)</f>
        <v>96.2702</v>
      </c>
    </row>
    <row r="141">
      <c r="A141" s="5">
        <f>IFERROR(__xludf.DUMMYFUNCTION("""COMPUTED_VALUE"""),46161.99861111111)</f>
        <v>46161.99861</v>
      </c>
      <c r="B141" s="4">
        <f>IFERROR(__xludf.DUMMYFUNCTION("""COMPUTED_VALUE"""),96.5658)</f>
        <v>96.5658</v>
      </c>
    </row>
    <row r="142">
      <c r="A142" s="5">
        <f>IFERROR(__xludf.DUMMYFUNCTION("""COMPUTED_VALUE"""),46162.99861111111)</f>
        <v>46162.99861</v>
      </c>
      <c r="B142" s="4">
        <f>IFERROR(__xludf.DUMMYFUNCTION("""COMPUTED_VALUE"""),96.5283)</f>
        <v>96.5283</v>
      </c>
    </row>
    <row r="143">
      <c r="A143" s="5">
        <f>IFERROR(__xludf.DUMMYFUNCTION("""COMPUTED_VALUE"""),46163.99861111111)</f>
        <v>46163.99861</v>
      </c>
      <c r="B143" s="4">
        <f>IFERROR(__xludf.DUMMYFUNCTION("""COMPUTED_VALUE"""),96.1739)</f>
        <v>96.1739</v>
      </c>
    </row>
    <row r="144">
      <c r="A144" s="5">
        <f>IFERROR(__xludf.DUMMYFUNCTION("""COMPUTED_VALUE"""),46164.99861111111)</f>
        <v>46164.99861</v>
      </c>
      <c r="B144" s="4">
        <f>IFERROR(__xludf.DUMMYFUNCTION("""COMPUTED_VALUE"""),95.7195)</f>
        <v>95.7195</v>
      </c>
    </row>
    <row r="145">
      <c r="A145" s="5">
        <f>IFERROR(__xludf.DUMMYFUNCTION("""COMPUTED_VALUE"""),46165.99861111111)</f>
        <v>46165.99861</v>
      </c>
      <c r="B145" s="4">
        <f>IFERROR(__xludf.DUMMYFUNCTION("""COMPUTED_VALUE"""),95.693)</f>
        <v>95.693</v>
      </c>
    </row>
    <row r="146">
      <c r="A146" s="5">
        <f>IFERROR(__xludf.DUMMYFUNCTION("""COMPUTED_VALUE"""),46166.99861111111)</f>
        <v>46166.99861</v>
      </c>
      <c r="B146" s="4">
        <f>IFERROR(__xludf.DUMMYFUNCTION("""COMPUTED_VALUE"""),95.7195)</f>
        <v>95.7195</v>
      </c>
    </row>
    <row r="147">
      <c r="A147" s="5">
        <f>IFERROR(__xludf.DUMMYFUNCTION("""COMPUTED_VALUE"""),46167.99861111111)</f>
        <v>46167.99861</v>
      </c>
      <c r="B147" s="4">
        <f>IFERROR(__xludf.DUMMYFUNCTION("""COMPUTED_VALUE"""),95.2528)</f>
        <v>95.2528</v>
      </c>
    </row>
    <row r="148">
      <c r="A148" s="5">
        <f>IFERROR(__xludf.DUMMYFUNCTION("""COMPUTED_VALUE"""),46168.99861111111)</f>
        <v>46168.99861</v>
      </c>
      <c r="B148" s="4">
        <f>IFERROR(__xludf.DUMMYFUNCTION("""COMPUTED_VALUE"""),95.905)</f>
        <v>95.905</v>
      </c>
    </row>
    <row r="149">
      <c r="A149" s="5">
        <f>IFERROR(__xludf.DUMMYFUNCTION("""COMPUTED_VALUE"""),46169.99861111111)</f>
        <v>46169.99861</v>
      </c>
      <c r="B149" s="4">
        <f>IFERROR(__xludf.DUMMYFUNCTION("""COMPUTED_VALUE"""),96.0489)</f>
        <v>96.0489</v>
      </c>
    </row>
    <row r="150">
      <c r="A150" s="5">
        <f>IFERROR(__xludf.DUMMYFUNCTION("""COMPUTED_VALUE"""),46170.99861111111)</f>
        <v>46170.99861</v>
      </c>
      <c r="B150" s="4">
        <f>IFERROR(__xludf.DUMMYFUNCTION("""COMPUTED_VALUE"""),96.0482)</f>
        <v>96.0482</v>
      </c>
    </row>
    <row r="151">
      <c r="A151" s="5">
        <f>IFERROR(__xludf.DUMMYFUNCTION("""COMPUTED_VALUE"""),46171.99861111111)</f>
        <v>46171.99861</v>
      </c>
      <c r="B151" s="4">
        <f>IFERROR(__xludf.DUMMYFUNCTION("""COMPUTED_VALUE"""),94.9924)</f>
        <v>94.9924</v>
      </c>
    </row>
    <row r="152">
      <c r="A152" s="5">
        <f>IFERROR(__xludf.DUMMYFUNCTION("""COMPUTED_VALUE"""),46172.99861111111)</f>
        <v>46172.99861</v>
      </c>
      <c r="B152" s="4">
        <f>IFERROR(__xludf.DUMMYFUNCTION("""COMPUTED_VALUE"""),95.003)</f>
        <v>95.003</v>
      </c>
    </row>
    <row r="153">
      <c r="A153" s="5">
        <f>IFERROR(__xludf.DUMMYFUNCTION("""COMPUTED_VALUE"""),46173.99861111111)</f>
        <v>46173.99861</v>
      </c>
      <c r="B153" s="4">
        <f>IFERROR(__xludf.DUMMYFUNCTION("""COMPUTED_VALUE"""),95.003)</f>
        <v>95.003</v>
      </c>
    </row>
    <row r="154">
      <c r="A154" s="5">
        <f>IFERROR(__xludf.DUMMYFUNCTION("""COMPUTED_VALUE"""),46174.99861111111)</f>
        <v>46174.99861</v>
      </c>
      <c r="B154" s="4">
        <f>IFERROR(__xludf.DUMMYFUNCTION("""COMPUTED_VALUE"""),95.5514)</f>
        <v>95.5514</v>
      </c>
    </row>
    <row r="155">
      <c r="A155" s="5">
        <f>IFERROR(__xludf.DUMMYFUNCTION("""COMPUTED_VALUE"""),46175.99861111111)</f>
        <v>46175.99861</v>
      </c>
      <c r="B155" s="4">
        <f>IFERROR(__xludf.DUMMYFUNCTION("""COMPUTED_VALUE"""),95.263)</f>
        <v>95.263</v>
      </c>
    </row>
    <row r="156">
      <c r="A156" s="5">
        <f>IFERROR(__xludf.DUMMYFUNCTION("""COMPUTED_VALUE"""),46176.99861111111)</f>
        <v>46176.99861</v>
      </c>
      <c r="B156" s="4">
        <f>IFERROR(__xludf.DUMMYFUNCTION("""COMPUTED_VALUE"""),96.1645)</f>
        <v>96.1645</v>
      </c>
    </row>
    <row r="157">
      <c r="A157" s="5">
        <f>IFERROR(__xludf.DUMMYFUNCTION("""COMPUTED_VALUE"""),46177.99861111111)</f>
        <v>46177.99861</v>
      </c>
      <c r="B157" s="4">
        <f>IFERROR(__xludf.DUMMYFUNCTION("""COMPUTED_VALUE"""),95.7903)</f>
        <v>95.7903</v>
      </c>
    </row>
    <row r="158">
      <c r="A158" s="5">
        <f>IFERROR(__xludf.DUMMYFUNCTION("""COMPUTED_VALUE"""),46178.99861111111)</f>
        <v>46178.99861</v>
      </c>
      <c r="B158" s="4">
        <f>IFERROR(__xludf.DUMMYFUNCTION("""COMPUTED_VALUE"""),95.3927)</f>
        <v>95.3927</v>
      </c>
    </row>
    <row r="159">
      <c r="A159" s="5">
        <f>IFERROR(__xludf.DUMMYFUNCTION("""COMPUTED_VALUE"""),46179.99861111111)</f>
        <v>46179.99861</v>
      </c>
      <c r="B159" s="4">
        <f>IFERROR(__xludf.DUMMYFUNCTION("""COMPUTED_VALUE"""),94.943)</f>
        <v>94.943</v>
      </c>
    </row>
    <row r="160">
      <c r="A160" s="5">
        <f>IFERROR(__xludf.DUMMYFUNCTION("""COMPUTED_VALUE"""),46180.99861111111)</f>
        <v>46180.99861</v>
      </c>
      <c r="B160" s="4">
        <f>IFERROR(__xludf.DUMMYFUNCTION("""COMPUTED_VALUE"""),94.9503)</f>
        <v>94.9503</v>
      </c>
    </row>
    <row r="161">
      <c r="A161" s="5">
        <f>IFERROR(__xludf.DUMMYFUNCTION("""COMPUTED_VALUE"""),46181.99861111111)</f>
        <v>46181.99861</v>
      </c>
      <c r="B161" s="4">
        <f>IFERROR(__xludf.DUMMYFUNCTION("""COMPUTED_VALUE"""),95.6883)</f>
        <v>95.6883</v>
      </c>
    </row>
    <row r="162">
      <c r="A162" s="5">
        <f>IFERROR(__xludf.DUMMYFUNCTION("""COMPUTED_VALUE"""),46182.99861111111)</f>
        <v>46182.99861</v>
      </c>
      <c r="B162" s="4">
        <f>IFERROR(__xludf.DUMMYFUNCTION("""COMPUTED_VALUE"""),95.3603)</f>
        <v>95.3603</v>
      </c>
    </row>
    <row r="163">
      <c r="A163" s="5">
        <f>IFERROR(__xludf.DUMMYFUNCTION("""COMPUTED_VALUE"""),46183.99861111111)</f>
        <v>46183.99861</v>
      </c>
      <c r="B163" s="4">
        <f>IFERROR(__xludf.DUMMYFUNCTION("""COMPUTED_VALUE"""),95.6445)</f>
        <v>95.6445</v>
      </c>
    </row>
    <row r="164">
      <c r="A164" s="5">
        <f>IFERROR(__xludf.DUMMYFUNCTION("""COMPUTED_VALUE"""),46184.99861111111)</f>
        <v>46184.99861</v>
      </c>
      <c r="B164" s="4">
        <f>IFERROR(__xludf.DUMMYFUNCTION("""COMPUTED_VALUE"""),95.7601)</f>
        <v>95.7601</v>
      </c>
    </row>
    <row r="165">
      <c r="A165" s="5">
        <f>IFERROR(__xludf.DUMMYFUNCTION("""COMPUTED_VALUE"""),46185.99861111111)</f>
        <v>46185.99861</v>
      </c>
      <c r="B165" s="4">
        <f>IFERROR(__xludf.DUMMYFUNCTION("""COMPUTED_VALUE"""),95.1722)</f>
        <v>95.1722</v>
      </c>
    </row>
    <row r="166">
      <c r="A166" s="5">
        <f>IFERROR(__xludf.DUMMYFUNCTION("""COMPUTED_VALUE"""),46186.99861111111)</f>
        <v>46186.99861</v>
      </c>
      <c r="B166" s="4">
        <f>IFERROR(__xludf.DUMMYFUNCTION("""COMPUTED_VALUE"""),95.103)</f>
        <v>95.103</v>
      </c>
    </row>
    <row r="167">
      <c r="A167" s="5">
        <f>IFERROR(__xludf.DUMMYFUNCTION("""COMPUTED_VALUE"""),46187.99861111111)</f>
        <v>46187.99861</v>
      </c>
      <c r="B167" s="4">
        <f>IFERROR(__xludf.DUMMYFUNCTION("""COMPUTED_VALUE"""),95.1103)</f>
        <v>95.1103</v>
      </c>
    </row>
    <row r="168">
      <c r="A168" s="5">
        <f>IFERROR(__xludf.DUMMYFUNCTION("""COMPUTED_VALUE"""),46188.99861111111)</f>
        <v>46188.99861</v>
      </c>
      <c r="B168" s="4">
        <f>IFERROR(__xludf.DUMMYFUNCTION("""COMPUTED_VALUE"""),94.7417)</f>
        <v>94.7417</v>
      </c>
    </row>
    <row r="169">
      <c r="A169" s="5">
        <f>IFERROR(__xludf.DUMMYFUNCTION("""COMPUTED_VALUE"""),46189.99861111111)</f>
        <v>46189.99861</v>
      </c>
      <c r="B169" s="4">
        <f>IFERROR(__xludf.DUMMYFUNCTION("""COMPUTED_VALUE"""),94.8886)</f>
        <v>94.8886</v>
      </c>
    </row>
    <row r="170">
      <c r="A170" s="5">
        <f>IFERROR(__xludf.DUMMYFUNCTION("""COMPUTED_VALUE"""),46190.99861111111)</f>
        <v>46190.99861</v>
      </c>
      <c r="B170" s="4">
        <f>IFERROR(__xludf.DUMMYFUNCTION("""COMPUTED_VALUE"""),94.8589)</f>
        <v>94.8589</v>
      </c>
    </row>
    <row r="171">
      <c r="A171" s="5">
        <f>IFERROR(__xludf.DUMMYFUNCTION("""COMPUTED_VALUE"""),46191.99861111111)</f>
        <v>46191.99861</v>
      </c>
      <c r="B171" s="4">
        <f>IFERROR(__xludf.DUMMYFUNCTION("""COMPUTED_VALUE"""),94.3399)</f>
        <v>94.3399</v>
      </c>
    </row>
    <row r="172">
      <c r="A172" s="5">
        <f>IFERROR(__xludf.DUMMYFUNCTION("""COMPUTED_VALUE"""),46192.99861111111)</f>
        <v>46192.99861</v>
      </c>
      <c r="B172" s="4">
        <f>IFERROR(__xludf.DUMMYFUNCTION("""COMPUTED_VALUE"""),94.323)</f>
        <v>94.323</v>
      </c>
    </row>
    <row r="173">
      <c r="A173" s="5">
        <f>IFERROR(__xludf.DUMMYFUNCTION("""COMPUTED_VALUE"""),46193.99861111111)</f>
        <v>46193.99861</v>
      </c>
      <c r="B173" s="4">
        <f>IFERROR(__xludf.DUMMYFUNCTION("""COMPUTED_VALUE"""),94.323)</f>
        <v>94.323</v>
      </c>
    </row>
    <row r="174">
      <c r="A174" s="5">
        <f>IFERROR(__xludf.DUMMYFUNCTION("""COMPUTED_VALUE"""),46194.99861111111)</f>
        <v>46194.99861</v>
      </c>
      <c r="B174" s="4">
        <f>IFERROR(__xludf.DUMMYFUNCTION("""COMPUTED_VALUE"""),94.3303)</f>
        <v>94.3303</v>
      </c>
    </row>
    <row r="175">
      <c r="A175" s="5">
        <f>IFERROR(__xludf.DUMMYFUNCTION("""COMPUTED_VALUE"""),46195.99861111111)</f>
        <v>46195.99861</v>
      </c>
      <c r="B175" s="4">
        <f>IFERROR(__xludf.DUMMYFUNCTION("""COMPUTED_VALUE"""),94.7006)</f>
        <v>94.7006</v>
      </c>
    </row>
    <row r="176">
      <c r="A176" s="5">
        <f>IFERROR(__xludf.DUMMYFUNCTION("""COMPUTED_VALUE"""),46196.99861111111)</f>
        <v>46196.99861</v>
      </c>
      <c r="B176" s="4">
        <f>IFERROR(__xludf.DUMMYFUNCTION("""COMPUTED_VALUE"""),95.1837)</f>
        <v>95.1837</v>
      </c>
    </row>
    <row r="177">
      <c r="A177" s="5">
        <f>IFERROR(__xludf.DUMMYFUNCTION("""COMPUTED_VALUE"""),46197.99861111111)</f>
        <v>46197.99861</v>
      </c>
      <c r="B177" s="4">
        <f>IFERROR(__xludf.DUMMYFUNCTION("""COMPUTED_VALUE"""),94.4407)</f>
        <v>94.4407</v>
      </c>
    </row>
    <row r="178">
      <c r="A178" s="5">
        <f>IFERROR(__xludf.DUMMYFUNCTION("""COMPUTED_VALUE"""),46198.99861111111)</f>
        <v>46198.99861</v>
      </c>
      <c r="B178" s="4">
        <f>IFERROR(__xludf.DUMMYFUNCTION("""COMPUTED_VALUE"""),94.4004)</f>
        <v>94.4004</v>
      </c>
    </row>
    <row r="179">
      <c r="A179" s="5">
        <f>IFERROR(__xludf.DUMMYFUNCTION("""COMPUTED_VALUE"""),46199.99861111111)</f>
        <v>46199.99861</v>
      </c>
      <c r="B179" s="4">
        <f>IFERROR(__xludf.DUMMYFUNCTION("""COMPUTED_VALUE"""),94.3)</f>
        <v>94.3</v>
      </c>
    </row>
    <row r="180">
      <c r="A180" s="5">
        <f>IFERROR(__xludf.DUMMYFUNCTION("""COMPUTED_VALUE"""),46200.99861111111)</f>
        <v>46200.99861</v>
      </c>
      <c r="B180" s="4">
        <f>IFERROR(__xludf.DUMMYFUNCTION("""COMPUTED_VALUE"""),94.353)</f>
        <v>94.353</v>
      </c>
    </row>
    <row r="181">
      <c r="A181" s="5">
        <f>IFERROR(__xludf.DUMMYFUNCTION("""COMPUTED_VALUE"""),46201.99861111111)</f>
        <v>46201.99861</v>
      </c>
      <c r="B181" s="4">
        <f>IFERROR(__xludf.DUMMYFUNCTION("""COMPUTED_VALUE"""),94.3603)</f>
        <v>94.3603</v>
      </c>
    </row>
    <row r="182">
      <c r="A182" s="5">
        <f>IFERROR(__xludf.DUMMYFUNCTION("""COMPUTED_VALUE"""),46202.99861111111)</f>
        <v>46202.99861</v>
      </c>
      <c r="B182" s="4">
        <f>IFERROR(__xludf.DUMMYFUNCTION("""COMPUTED_VALUE"""),94.7905)</f>
        <v>94.7905</v>
      </c>
    </row>
    <row r="183">
      <c r="A183" s="5">
        <f>IFERROR(__xludf.DUMMYFUNCTION("""COMPUTED_VALUE"""),46203.99861111111)</f>
        <v>46203.99861</v>
      </c>
      <c r="B183" s="4">
        <f>IFERROR(__xludf.DUMMYFUNCTION("""COMPUTED_VALUE"""),94.918)</f>
        <v>94.918</v>
      </c>
    </row>
    <row r="184">
      <c r="A184" s="5">
        <f>IFERROR(__xludf.DUMMYFUNCTION("""COMPUTED_VALUE"""),46204.99861111111)</f>
        <v>46204.99861</v>
      </c>
      <c r="B184" s="4">
        <f>IFERROR(__xludf.DUMMYFUNCTION("""COMPUTED_VALUE"""),95.4175)</f>
        <v>95.4175</v>
      </c>
    </row>
    <row r="185">
      <c r="A185" s="5">
        <f>IFERROR(__xludf.DUMMYFUNCTION("""COMPUTED_VALUE"""),46205.99861111111)</f>
        <v>46205.99861</v>
      </c>
      <c r="B185" s="4">
        <f>IFERROR(__xludf.DUMMYFUNCTION("""COMPUTED_VALUE"""),95.5271)</f>
        <v>95.5271</v>
      </c>
    </row>
    <row r="186">
      <c r="A186" s="5">
        <f>IFERROR(__xludf.DUMMYFUNCTION("""COMPUTED_VALUE"""),46206.99861111111)</f>
        <v>46206.99861</v>
      </c>
      <c r="B186" s="4">
        <f>IFERROR(__xludf.DUMMYFUNCTION("""COMPUTED_VALUE"""),95.5219)</f>
        <v>95.5219</v>
      </c>
    </row>
    <row r="187">
      <c r="A187" s="5">
        <f>IFERROR(__xludf.DUMMYFUNCTION("""COMPUTED_VALUE"""),46207.99861111111)</f>
        <v>46207.99861</v>
      </c>
      <c r="B187" s="4">
        <f>IFERROR(__xludf.DUMMYFUNCTION("""COMPUTED_VALUE"""),95.208)</f>
        <v>95.208</v>
      </c>
    </row>
    <row r="188">
      <c r="A188" s="5">
        <f>IFERROR(__xludf.DUMMYFUNCTION("""COMPUTED_VALUE"""),46208.99861111111)</f>
        <v>46208.99861</v>
      </c>
      <c r="B188" s="4">
        <f>IFERROR(__xludf.DUMMYFUNCTION("""COMPUTED_VALUE"""),95.2148)</f>
        <v>95.2148</v>
      </c>
    </row>
    <row r="189">
      <c r="A189" s="5">
        <f>IFERROR(__xludf.DUMMYFUNCTION("""COMPUTED_VALUE"""),46209.99861111111)</f>
        <v>46209.99861</v>
      </c>
      <c r="B189" s="4">
        <f>IFERROR(__xludf.DUMMYFUNCTION("""COMPUTED_VALUE"""),95.6035)</f>
        <v>95.6035</v>
      </c>
    </row>
    <row r="190">
      <c r="A190" s="5">
        <f>IFERROR(__xludf.DUMMYFUNCTION("""COMPUTED_VALUE"""),46210.99861111111)</f>
        <v>46210.99861</v>
      </c>
      <c r="B190" s="4">
        <f>IFERROR(__xludf.DUMMYFUNCTION("""COMPUTED_VALUE"""),95.5934)</f>
        <v>95.5934</v>
      </c>
    </row>
    <row r="191">
      <c r="A191" s="5">
        <f>IFERROR(__xludf.DUMMYFUNCTION("""COMPUTED_VALUE"""),46211.99861111111)</f>
        <v>46211.99861</v>
      </c>
      <c r="B191" s="4">
        <f>IFERROR(__xludf.DUMMYFUNCTION("""COMPUTED_VALUE"""),95.8618)</f>
        <v>95.8618</v>
      </c>
    </row>
    <row r="192">
      <c r="A192" s="5">
        <f>IFERROR(__xludf.DUMMYFUNCTION("""COMPUTED_VALUE"""),46212.99861111111)</f>
        <v>46212.99861</v>
      </c>
      <c r="B192" s="4">
        <f>IFERROR(__xludf.DUMMYFUNCTION("""COMPUTED_VALUE"""),95.3902)</f>
        <v>95.3902</v>
      </c>
    </row>
    <row r="193">
      <c r="A193" s="5">
        <f>IFERROR(__xludf.DUMMYFUNCTION("""COMPUTED_VALUE"""),46213.99861111111)</f>
        <v>46213.99861</v>
      </c>
      <c r="B193" s="4">
        <f>IFERROR(__xludf.DUMMYFUNCTION("""COMPUTED_VALUE"""),95.5319)</f>
        <v>95.5319</v>
      </c>
    </row>
    <row r="194">
      <c r="A194" s="5">
        <f>IFERROR(__xludf.DUMMYFUNCTION("""COMPUTED_VALUE"""),46214.99861111111)</f>
        <v>46214.99861</v>
      </c>
      <c r="B194" s="4">
        <f>IFERROR(__xludf.DUMMYFUNCTION("""COMPUTED_VALUE"""),95.323)</f>
        <v>95.323</v>
      </c>
    </row>
    <row r="195">
      <c r="A195" s="5">
        <f>IFERROR(__xludf.DUMMYFUNCTION("""COMPUTED_VALUE"""),46215.99861111111)</f>
        <v>46215.99861</v>
      </c>
      <c r="B195" s="4">
        <f>IFERROR(__xludf.DUMMYFUNCTION("""COMPUTED_VALUE"""),95.325)</f>
        <v>95.325</v>
      </c>
    </row>
    <row r="196">
      <c r="A196" s="5">
        <f>IFERROR(__xludf.DUMMYFUNCTION("""COMPUTED_VALUE"""),46216.99861111111)</f>
        <v>46216.99861</v>
      </c>
      <c r="B196" s="4">
        <f>IFERROR(__xludf.DUMMYFUNCTION("""COMPUTED_VALUE"""),96.2989)</f>
        <v>96.2989</v>
      </c>
    </row>
    <row r="197">
      <c r="A197" s="5">
        <f>IFERROR(__xludf.DUMMYFUNCTION("""COMPUTED_VALUE"""),46217.99861111111)</f>
        <v>46217.99861</v>
      </c>
      <c r="B197" s="4">
        <f>IFERROR(__xludf.DUMMYFUNCTION("""COMPUTED_VALUE"""),96.4253)</f>
        <v>96.4253</v>
      </c>
    </row>
    <row r="198">
      <c r="A198" s="5">
        <f>IFERROR(__xludf.DUMMYFUNCTION("""COMPUTED_VALUE"""),46218.99861111111)</f>
        <v>46218.99861</v>
      </c>
      <c r="B198" s="4">
        <f>IFERROR(__xludf.DUMMYFUNCTION("""COMPUTED_VALUE"""),96.4986)</f>
        <v>96.4986</v>
      </c>
    </row>
    <row r="199">
      <c r="A199" s="5">
        <f>IFERROR(__xludf.DUMMYFUNCTION("""COMPUTED_VALUE"""),46219.99861111111)</f>
        <v>46219.99861</v>
      </c>
      <c r="B199" s="4">
        <f>IFERROR(__xludf.DUMMYFUNCTION("""COMPUTED_VALUE"""),96.6522)</f>
        <v>96.6522</v>
      </c>
    </row>
    <row r="200">
      <c r="A200" s="5">
        <f>IFERROR(__xludf.DUMMYFUNCTION("""COMPUTED_VALUE"""),46220.99861111111)</f>
        <v>46220.99861</v>
      </c>
      <c r="B200" s="4">
        <f>IFERROR(__xludf.DUMMYFUNCTION("""COMPUTED_VALUE"""),96.5259)</f>
        <v>96.5259</v>
      </c>
    </row>
    <row r="201">
      <c r="A201" s="5">
        <f>IFERROR(__xludf.DUMMYFUNCTION("""COMPUTED_VALUE"""),46221.99861111111)</f>
        <v>46221.99861</v>
      </c>
      <c r="B201" s="4">
        <f>IFERROR(__xludf.DUMMYFUNCTION("""COMPUTED_VALUE"""),96.278)</f>
        <v>96.278</v>
      </c>
    </row>
    <row r="202">
      <c r="A202" s="5">
        <f>IFERROR(__xludf.DUMMYFUNCTION("""COMPUTED_VALUE"""),46222.99861111111)</f>
        <v>46222.99861</v>
      </c>
      <c r="B202" s="4">
        <f>IFERROR(__xludf.DUMMYFUNCTION("""COMPUTED_VALUE"""),96.2848)</f>
        <v>96.2848</v>
      </c>
    </row>
    <row r="203">
      <c r="A203" s="5">
        <f>IFERROR(__xludf.DUMMYFUNCTION("""COMPUTED_VALUE"""),46223.99861111111)</f>
        <v>46223.99861</v>
      </c>
      <c r="B203" s="4">
        <f>IFERROR(__xludf.DUMMYFUNCTION("""COMPUTED_VALUE"""),96.4896)</f>
        <v>96.4896</v>
      </c>
    </row>
    <row r="204">
      <c r="A204" s="5">
        <f>IFERROR(__xludf.DUMMYFUNCTION("""COMPUTED_VALUE"""),46224.99861111111)</f>
        <v>46224.99861</v>
      </c>
      <c r="B204" s="4">
        <f>IFERROR(__xludf.DUMMYFUNCTION("""COMPUTED_VALUE"""),96.3409)</f>
        <v>96.3409</v>
      </c>
    </row>
    <row r="205">
      <c r="A205" s="5">
        <f>IFERROR(__xludf.DUMMYFUNCTION("""COMPUTED_VALUE"""),46225.99861111111)</f>
        <v>46225.99861</v>
      </c>
      <c r="B205" s="4">
        <f>IFERROR(__xludf.DUMMYFUNCTION("""COMPUTED_VALUE"""),96.5571)</f>
        <v>96.5571</v>
      </c>
    </row>
    <row r="206">
      <c r="A206" s="5">
        <f>IFERROR(__xludf.DUMMYFUNCTION("""COMPUTED_VALUE"""),46226.99861111111)</f>
        <v>46226.99861</v>
      </c>
      <c r="B206" s="4">
        <f>IFERROR(__xludf.DUMMYFUNCTION("""COMPUTED_VALUE"""),96.8769)</f>
        <v>96.8769</v>
      </c>
    </row>
    <row r="207">
      <c r="A207" s="5">
        <f>IFERROR(__xludf.DUMMYFUNCTION("""COMPUTED_VALUE"""),46227.99861111111)</f>
        <v>46227.99861</v>
      </c>
      <c r="B207" s="4">
        <f>IFERROR(__xludf.DUMMYFUNCTION("""COMPUTED_VALUE"""),96.3975)</f>
        <v>96.3975</v>
      </c>
    </row>
    <row r="208">
      <c r="A208" s="5">
        <f>IFERROR(__xludf.DUMMYFUNCTION("""COMPUTED_VALUE"""),46228.99861111111)</f>
        <v>46228.99861</v>
      </c>
      <c r="B208" s="4">
        <f>IFERROR(__xludf.DUMMYFUNCTION("""COMPUTED_VALUE"""),96.56)</f>
        <v>96.56</v>
      </c>
    </row>
    <row r="209">
      <c r="A209" s="5">
        <f>IFERROR(__xludf.DUMMYFUNCTION("""COMPUTED_VALUE"""),46229.99861111111)</f>
        <v>46229.99861</v>
      </c>
      <c r="B209" s="4">
        <f>IFERROR(__xludf.DUMMYFUNCTION("""COMPUTED_VALUE"""),96.5673)</f>
        <v>96.5673</v>
      </c>
    </row>
    <row r="210">
      <c r="A210" s="5">
        <f>IFERROR(__xludf.DUMMYFUNCTION("""COMPUTED_VALUE"""),46230.99861111111)</f>
        <v>46230.99861</v>
      </c>
      <c r="B210" s="4">
        <f>IFERROR(__xludf.DUMMYFUNCTION("""COMPUTED_VALUE"""),95.7741)</f>
        <v>95.7741</v>
      </c>
    </row>
    <row r="211">
      <c r="A211" s="5">
        <f>IFERROR(__xludf.DUMMYFUNCTION("""COMPUTED_VALUE"""),46231.99861111111)</f>
        <v>46231.99861</v>
      </c>
      <c r="B211" s="4">
        <f>IFERROR(__xludf.DUMMYFUNCTION("""COMPUTED_VALUE"""),95.5987)</f>
        <v>95.5987</v>
      </c>
    </row>
    <row r="212">
      <c r="A212" s="5">
        <f>IFERROR(__xludf.DUMMYFUNCTION("""COMPUTED_VALUE"""),46232.99861111111)</f>
        <v>46232.99861</v>
      </c>
      <c r="B212" s="4">
        <f>IFERROR(__xludf.DUMMYFUNCTION("""COMPUTED_VALUE"""),95.7286)</f>
        <v>95.7286</v>
      </c>
    </row>
    <row r="213">
      <c r="A213" s="5">
        <f>IFERROR(__xludf.DUMMYFUNCTION("""COMPUTED_VALUE"""),46233.99861111111)</f>
        <v>46233.99861</v>
      </c>
      <c r="B213" s="4">
        <f>IFERROR(__xludf.DUMMYFUNCTION("""COMPUTED_VALUE"""),95.6848)</f>
        <v>95.6848</v>
      </c>
    </row>
    <row r="214">
      <c r="A214" s="5">
        <f>IFERROR(__xludf.DUMMYFUNCTION("""COMPUTED_VALUE"""),46234.99861111111)</f>
        <v>46234.99861</v>
      </c>
      <c r="B214" s="4">
        <f>IFERROR(__xludf.DUMMYFUNCTION("""COMPUTED_VALUE"""),95.383)</f>
        <v>95.383</v>
      </c>
    </row>
    <row r="215">
      <c r="A215" s="5">
        <f>IFERROR(__xludf.DUMMYFUNCTION("""COMPUTED_VALUE"""),46236.99861111111)</f>
        <v>46236.99861</v>
      </c>
      <c r="B215" s="4">
        <f>IFERROR(__xludf.DUMMYFUNCTION("""COMPUTED_VALUE"""),95.4022)</f>
        <v>95.4022</v>
      </c>
    </row>
    <row r="216">
      <c r="A216" s="5">
        <f>IFERROR(__xludf.DUMMYFUNCTION("""COMPUTED_VALUE"""),46237.99861111111)</f>
        <v>46237.99861</v>
      </c>
      <c r="B216" s="4">
        <f>IFERROR(__xludf.DUMMYFUNCTION("""COMPUTED_VALUE"""),95.3316)</f>
        <v>95.3316</v>
      </c>
    </row>
    <row r="217">
      <c r="A217" s="5">
        <f>IFERROR(__xludf.DUMMYFUNCTION("""COMPUTED_VALUE"""),46238.99861111111)</f>
        <v>46238.99861</v>
      </c>
      <c r="B217" s="4">
        <f>IFERROR(__xludf.DUMMYFUNCTION("""COMPUTED_VALUE"""),95.0972)</f>
        <v>95.0972</v>
      </c>
    </row>
    <row r="218">
      <c r="A218" s="5">
        <f>IFERROR(__xludf.DUMMYFUNCTION("""COMPUTED_VALUE"""),46239.99861111111)</f>
        <v>46239.99861</v>
      </c>
      <c r="B218" s="4">
        <f>IFERROR(__xludf.DUMMYFUNCTION("""COMPUTED_VALUE"""),95.0773)</f>
        <v>95.0773</v>
      </c>
    </row>
    <row r="219">
      <c r="A219" s="5">
        <f>IFERROR(__xludf.DUMMYFUNCTION("""COMPUTED_VALUE"""),46240.99861111111)</f>
        <v>46240.99861</v>
      </c>
      <c r="B219" s="4">
        <f>IFERROR(__xludf.DUMMYFUNCTION("""COMPUTED_VALUE"""),95.3119)</f>
        <v>95.3119</v>
      </c>
    </row>
    <row r="220">
      <c r="A220" s="5">
        <f>IFERROR(__xludf.DUMMYFUNCTION("""COMPUTED_VALUE"""),46241.99861111111)</f>
        <v>46241.99861</v>
      </c>
      <c r="B220" s="4">
        <f>IFERROR(__xludf.DUMMYFUNCTION("""COMPUTED_VALUE"""),95.1376)</f>
        <v>95.1376</v>
      </c>
    </row>
    <row r="221">
      <c r="A221" s="5">
        <f>IFERROR(__xludf.DUMMYFUNCTION("""COMPUTED_VALUE"""),46242.99861111111)</f>
        <v>46242.99861</v>
      </c>
      <c r="B221" s="4">
        <f>IFERROR(__xludf.DUMMYFUNCTION("""COMPUTED_VALUE"""),95.203)</f>
        <v>95.203</v>
      </c>
    </row>
    <row r="222">
      <c r="A222" s="5">
        <f>IFERROR(__xludf.DUMMYFUNCTION("""COMPUTED_VALUE"""),46243.99861111111)</f>
        <v>46243.99861</v>
      </c>
      <c r="B222" s="4">
        <f>IFERROR(__xludf.DUMMYFUNCTION("""COMPUTED_VALUE"""),95.2103)</f>
        <v>95.2103</v>
      </c>
    </row>
    <row r="223">
      <c r="A223" s="5">
        <f>IFERROR(__xludf.DUMMYFUNCTION("""COMPUTED_VALUE"""),46244.99861111111)</f>
        <v>46244.99861</v>
      </c>
      <c r="B223" s="4">
        <f>IFERROR(__xludf.DUMMYFUNCTION("""COMPUTED_VALUE"""),95.3967)</f>
        <v>95.3967</v>
      </c>
    </row>
    <row r="224">
      <c r="A224" s="5">
        <f>IFERROR(__xludf.DUMMYFUNCTION("""COMPUTED_VALUE"""),46245.99861111111)</f>
        <v>46245.99861</v>
      </c>
      <c r="B224" s="4">
        <f>IFERROR(__xludf.DUMMYFUNCTION("""COMPUTED_VALUE"""),95.3799)</f>
        <v>95.3799</v>
      </c>
    </row>
    <row r="225">
      <c r="A225" s="5">
        <f>IFERROR(__xludf.DUMMYFUNCTION("""COMPUTED_VALUE"""),46246.99861111111)</f>
        <v>46246.99861</v>
      </c>
      <c r="B225" s="4">
        <f>IFERROR(__xludf.DUMMYFUNCTION("""COMPUTED_VALUE"""),95.3443)</f>
        <v>95.3443</v>
      </c>
    </row>
    <row r="226">
      <c r="A226" s="5">
        <f>IFERROR(__xludf.DUMMYFUNCTION("""COMPUTED_VALUE"""),46247.99861111111)</f>
        <v>46247.99861</v>
      </c>
      <c r="B226" s="4">
        <f>IFERROR(__xludf.DUMMYFUNCTION("""COMPUTED_VALUE"""),95.4012)</f>
        <v>95.4012</v>
      </c>
    </row>
    <row r="227">
      <c r="A227" s="5">
        <f>IFERROR(__xludf.DUMMYFUNCTION("""COMPUTED_VALUE"""),46248.99861111111)</f>
        <v>46248.99861</v>
      </c>
      <c r="B227" s="4">
        <f>IFERROR(__xludf.DUMMYFUNCTION("""COMPUTED_VALUE"""),95.6146)</f>
        <v>95.6146</v>
      </c>
    </row>
    <row r="228">
      <c r="A228" s="5">
        <f>IFERROR(__xludf.DUMMYFUNCTION("""COMPUTED_VALUE"""),46249.99861111111)</f>
        <v>46249.99861</v>
      </c>
      <c r="B228" s="4">
        <f>IFERROR(__xludf.DUMMYFUNCTION("""COMPUTED_VALUE"""),95.443)</f>
        <v>95.443</v>
      </c>
    </row>
    <row r="229">
      <c r="A229" s="5">
        <f>IFERROR(__xludf.DUMMYFUNCTION("""COMPUTED_VALUE"""),46250.99861111111)</f>
        <v>46250.99861</v>
      </c>
      <c r="B229" s="4">
        <f>IFERROR(__xludf.DUMMYFUNCTION("""COMPUTED_VALUE"""),95.4503)</f>
        <v>95.4503</v>
      </c>
    </row>
    <row r="230">
      <c r="A230" s="5">
        <f>IFERROR(__xludf.DUMMYFUNCTION("""COMPUTED_VALUE"""),46251.99861111111)</f>
        <v>46251.99861</v>
      </c>
      <c r="B230" s="4">
        <f>IFERROR(__xludf.DUMMYFUNCTION("""COMPUTED_VALUE"""),95.6941)</f>
        <v>95.6941</v>
      </c>
    </row>
    <row r="231">
      <c r="A231" s="5">
        <f>IFERROR(__xludf.DUMMYFUNCTION("""COMPUTED_VALUE"""),46252.99861111111)</f>
        <v>46252.99861</v>
      </c>
      <c r="B231" s="4">
        <f>IFERROR(__xludf.DUMMYFUNCTION("""COMPUTED_VALUE"""),95.8164)</f>
        <v>95.8164</v>
      </c>
    </row>
    <row r="232">
      <c r="A232" s="5">
        <f>IFERROR(__xludf.DUMMYFUNCTION("""COMPUTED_VALUE"""),46253.99861111111)</f>
        <v>46253.99861</v>
      </c>
      <c r="B232" s="4">
        <f>IFERROR(__xludf.DUMMYFUNCTION("""COMPUTED_VALUE"""),95.496)</f>
        <v>95.496</v>
      </c>
    </row>
    <row r="233">
      <c r="A233" s="5">
        <f>IFERROR(__xludf.DUMMYFUNCTION("""COMPUTED_VALUE"""),46254.99861111111)</f>
        <v>46254.99861</v>
      </c>
      <c r="B233" s="4">
        <f>IFERROR(__xludf.DUMMYFUNCTION("""COMPUTED_VALUE"""),95.7722)</f>
        <v>95.7722</v>
      </c>
    </row>
    <row r="234">
      <c r="A234" s="5">
        <f>IFERROR(__xludf.DUMMYFUNCTION("""COMPUTED_VALUE"""),46255.99861111111)</f>
        <v>46255.99861</v>
      </c>
      <c r="B234" s="4">
        <f>IFERROR(__xludf.DUMMYFUNCTION("""COMPUTED_VALUE"""),95.69)</f>
        <v>95.69</v>
      </c>
    </row>
    <row r="235">
      <c r="A235" s="5">
        <f>IFERROR(__xludf.DUMMYFUNCTION("""COMPUTED_VALUE"""),46256.99861111111)</f>
        <v>46256.99861</v>
      </c>
      <c r="B235" s="4">
        <f>IFERROR(__xludf.DUMMYFUNCTION("""COMPUTED_VALUE"""),95.693)</f>
        <v>95.693</v>
      </c>
    </row>
    <row r="236">
      <c r="A236" s="5">
        <f>IFERROR(__xludf.DUMMYFUNCTION("""COMPUTED_VALUE"""),46257.99861111111)</f>
        <v>46257.99861</v>
      </c>
      <c r="B236" s="4">
        <f>IFERROR(__xludf.DUMMYFUNCTION("""COMPUTED_VALUE"""),95.7003)</f>
        <v>95.7003</v>
      </c>
    </row>
    <row r="237">
      <c r="A237" s="5">
        <f>IFERROR(__xludf.DUMMYFUNCTION("""COMPUTED_VALUE"""),46258.99861111111)</f>
        <v>46258.99861</v>
      </c>
      <c r="B237" s="4">
        <f>IFERROR(__xludf.DUMMYFUNCTION("""COMPUTED_VALUE"""),95.7231)</f>
        <v>95.7231</v>
      </c>
    </row>
    <row r="238">
      <c r="A238" s="5">
        <f>IFERROR(__xludf.DUMMYFUNCTION("""COMPUTED_VALUE"""),46259.99861111111)</f>
        <v>46259.99861</v>
      </c>
      <c r="B238" s="4">
        <f>IFERROR(__xludf.DUMMYFUNCTION("""COMPUTED_VALUE"""),93.5461)</f>
        <v>93.5461</v>
      </c>
    </row>
    <row r="239">
      <c r="A239" s="5">
        <f>IFERROR(__xludf.DUMMYFUNCTION("""COMPUTED_VALUE"""),46260.99861111111)</f>
        <v>46260.99861</v>
      </c>
      <c r="B239" s="4">
        <f>IFERROR(__xludf.DUMMYFUNCTION("""COMPUTED_VALUE"""),95.4303)</f>
        <v>95.4303</v>
      </c>
    </row>
    <row r="240">
      <c r="A240" s="5">
        <f>IFERROR(__xludf.DUMMYFUNCTION("""COMPUTED_VALUE"""),46261.99861111111)</f>
        <v>46261.99861</v>
      </c>
      <c r="B240" s="4">
        <f>IFERROR(__xludf.DUMMYFUNCTION("""COMPUTED_VALUE"""),95.4704)</f>
        <v>95.4704</v>
      </c>
    </row>
    <row r="241">
      <c r="A241" s="5">
        <f>IFERROR(__xludf.DUMMYFUNCTION("""COMPUTED_VALUE"""),46262.99861111111)</f>
        <v>46262.99861</v>
      </c>
      <c r="B241" s="4">
        <f>IFERROR(__xludf.DUMMYFUNCTION("""COMPUTED_VALUE"""),95.4343)</f>
        <v>95.4343</v>
      </c>
    </row>
    <row r="242">
      <c r="A242" s="5">
        <f>IFERROR(__xludf.DUMMYFUNCTION("""COMPUTED_VALUE"""),46263.99861111111)</f>
        <v>46263.99861</v>
      </c>
      <c r="B242" s="4">
        <f>IFERROR(__xludf.DUMMYFUNCTION("""COMPUTED_VALUE"""),95.373)</f>
        <v>95.373</v>
      </c>
    </row>
    <row r="243">
      <c r="A243" s="5">
        <f>IFERROR(__xludf.DUMMYFUNCTION("""COMPUTED_VALUE"""),46264.99861111111)</f>
        <v>46264.99861</v>
      </c>
      <c r="B243" s="4">
        <f>IFERROR(__xludf.DUMMYFUNCTION("""COMPUTED_VALUE"""),95.3803)</f>
        <v>95.3803</v>
      </c>
    </row>
    <row r="244">
      <c r="A244" s="5">
        <f>IFERROR(__xludf.DUMMYFUNCTION("""COMPUTED_VALUE"""),46265.99861111111)</f>
        <v>46265.99861</v>
      </c>
      <c r="B244" s="4">
        <f>IFERROR(__xludf.DUMMYFUNCTION("""COMPUTED_VALUE"""),95.1144)</f>
        <v>95.1144</v>
      </c>
    </row>
    <row r="245">
      <c r="A245" s="5">
        <f>IFERROR(__xludf.DUMMYFUNCTION("""COMPUTED_VALUE"""),46266.99861111111)</f>
        <v>46266.99861</v>
      </c>
      <c r="B245" s="4">
        <f>IFERROR(__xludf.DUMMYFUNCTION("""COMPUTED_VALUE"""),94.9552)</f>
        <v>94.9552</v>
      </c>
    </row>
    <row r="246">
      <c r="A246" s="5">
        <f>IFERROR(__xludf.DUMMYFUNCTION("""COMPUTED_VALUE"""),46267.99861111111)</f>
        <v>46267.99861</v>
      </c>
      <c r="B246" s="4">
        <f>IFERROR(__xludf.DUMMYFUNCTION("""COMPUTED_VALUE"""),94.4877)</f>
        <v>94.4877</v>
      </c>
    </row>
    <row r="247">
      <c r="A247" s="5">
        <f>IFERROR(__xludf.DUMMYFUNCTION("""COMPUTED_VALUE"""),46268.99861111111)</f>
        <v>46268.99861</v>
      </c>
      <c r="B247" s="4">
        <f>IFERROR(__xludf.DUMMYFUNCTION("""COMPUTED_VALUE"""),94.4949)</f>
        <v>94.4949</v>
      </c>
    </row>
    <row r="248">
      <c r="A248" s="5">
        <f>IFERROR(__xludf.DUMMYFUNCTION("""COMPUTED_VALUE"""),46269.99861111111)</f>
        <v>46269.99861</v>
      </c>
      <c r="B248" s="4">
        <f>IFERROR(__xludf.DUMMYFUNCTION("""COMPUTED_VALUE"""),94.4332)</f>
        <v>94.4332</v>
      </c>
    </row>
    <row r="249">
      <c r="A249" s="5">
        <f>IFERROR(__xludf.DUMMYFUNCTION("""COMPUTED_VALUE"""),46270.99861111111)</f>
        <v>46270.99861</v>
      </c>
      <c r="B249" s="4">
        <f>IFERROR(__xludf.DUMMYFUNCTION("""COMPUTED_VALUE"""),94.483)</f>
        <v>94.483</v>
      </c>
    </row>
    <row r="250">
      <c r="A250" s="5">
        <f>IFERROR(__xludf.DUMMYFUNCTION("""COMPUTED_VALUE"""),46271.99861111111)</f>
        <v>46271.99861</v>
      </c>
      <c r="B250" s="4">
        <f>IFERROR(__xludf.DUMMYFUNCTION("""COMPUTED_VALUE"""),94.4303)</f>
        <v>94.4303</v>
      </c>
    </row>
    <row r="251">
      <c r="A251" s="5">
        <f>IFERROR(__xludf.DUMMYFUNCTION("""COMPUTED_VALUE"""),46272.99861111111)</f>
        <v>46272.99861</v>
      </c>
      <c r="B251" s="4">
        <f>IFERROR(__xludf.DUMMYFUNCTION("""COMPUTED_VALUE"""),94.4919)</f>
        <v>94.4919</v>
      </c>
    </row>
    <row r="252">
      <c r="A252" s="5">
        <f>IFERROR(__xludf.DUMMYFUNCTION("""COMPUTED_VALUE"""),46273.99861111111)</f>
        <v>46273.99861</v>
      </c>
      <c r="B252" s="4">
        <f>IFERROR(__xludf.DUMMYFUNCTION("""COMPUTED_VALUE"""),94.823)</f>
        <v>94.823</v>
      </c>
    </row>
    <row r="253">
      <c r="A253" s="5">
        <f>IFERROR(__xludf.DUMMYFUNCTION("""COMPUTED_VALUE"""),46274.99861111111)</f>
        <v>46274.99861</v>
      </c>
      <c r="B253" s="4">
        <f>IFERROR(__xludf.DUMMYFUNCTION("""COMPUTED_VALUE"""),95.1118)</f>
        <v>95.1118</v>
      </c>
    </row>
    <row r="254">
      <c r="A254" s="5">
        <f>IFERROR(__xludf.DUMMYFUNCTION("""COMPUTED_VALUE"""),46275.99861111111)</f>
        <v>46275.99861</v>
      </c>
      <c r="B254" s="4">
        <f>IFERROR(__xludf.DUMMYFUNCTION("""COMPUTED_VALUE"""),95.6945)</f>
        <v>95.6945</v>
      </c>
    </row>
    <row r="255">
      <c r="A255" s="5">
        <f>IFERROR(__xludf.DUMMYFUNCTION("""COMPUTED_VALUE"""),46276.99861111111)</f>
        <v>46276.99861</v>
      </c>
      <c r="B255" s="4">
        <f>IFERROR(__xludf.DUMMYFUNCTION("""COMPUTED_VALUE"""),95.5964)</f>
        <v>95.5964</v>
      </c>
    </row>
    <row r="256">
      <c r="A256" s="5">
        <f>IFERROR(__xludf.DUMMYFUNCTION("""COMPUTED_VALUE"""),46277.99861111111)</f>
        <v>46277.99861</v>
      </c>
      <c r="B256" s="4">
        <f>IFERROR(__xludf.DUMMYFUNCTION("""COMPUTED_VALUE"""),95.548)</f>
        <v>95.548</v>
      </c>
    </row>
    <row r="257">
      <c r="A257" s="5">
        <f>IFERROR(__xludf.DUMMYFUNCTION("""COMPUTED_VALUE"""),46278.99861111111)</f>
        <v>46278.99861</v>
      </c>
      <c r="B257" s="4">
        <f>IFERROR(__xludf.DUMMYFUNCTION("""COMPUTED_VALUE"""),95.0328)</f>
        <v>95.0328</v>
      </c>
    </row>
    <row r="258">
      <c r="A258" s="5">
        <f>IFERROR(__xludf.DUMMYFUNCTION("""COMPUTED_VALUE"""),46279.99861111111)</f>
        <v>46279.99861</v>
      </c>
      <c r="B258" s="4">
        <f>IFERROR(__xludf.DUMMYFUNCTION("""COMPUTED_VALUE"""),95.8354)</f>
        <v>95.8354</v>
      </c>
    </row>
    <row r="259">
      <c r="A259" s="5">
        <f>IFERROR(__xludf.DUMMYFUNCTION("""COMPUTED_VALUE"""),46280.99861111111)</f>
        <v>46280.99861</v>
      </c>
      <c r="B259" s="4">
        <f>IFERROR(__xludf.DUMMYFUNCTION("""COMPUTED_VALUE"""),95.9927)</f>
        <v>95.9927</v>
      </c>
    </row>
    <row r="260">
      <c r="A260" s="5">
        <f>IFERROR(__xludf.DUMMYFUNCTION("""COMPUTED_VALUE"""),46281.99861111111)</f>
        <v>46281.99861</v>
      </c>
      <c r="B260" s="4">
        <f>IFERROR(__xludf.DUMMYFUNCTION("""COMPUTED_VALUE"""),96.1323)</f>
        <v>96.1323</v>
      </c>
    </row>
    <row r="261">
      <c r="A261" s="5">
        <f>IFERROR(__xludf.DUMMYFUNCTION("""COMPUTED_VALUE"""),46282.99861111111)</f>
        <v>46282.99861</v>
      </c>
      <c r="B261" s="4">
        <f>IFERROR(__xludf.DUMMYFUNCTION("""COMPUTED_VALUE"""),95.7992)</f>
        <v>95.7992</v>
      </c>
    </row>
    <row r="262">
      <c r="A262" s="5">
        <f>IFERROR(__xludf.DUMMYFUNCTION("""COMPUTED_VALUE"""),46283.99861111111)</f>
        <v>46283.99861</v>
      </c>
      <c r="B262" s="4">
        <f>IFERROR(__xludf.DUMMYFUNCTION("""COMPUTED_VALUE"""),95.9861)</f>
        <v>95.9861</v>
      </c>
    </row>
    <row r="263">
      <c r="A263" s="5">
        <f>IFERROR(__xludf.DUMMYFUNCTION("""COMPUTED_VALUE"""),46284.99861111111)</f>
        <v>46284.99861</v>
      </c>
      <c r="B263" s="4">
        <f>IFERROR(__xludf.DUMMYFUNCTION("""COMPUTED_VALUE"""),95.928)</f>
        <v>95.928</v>
      </c>
    </row>
    <row r="264">
      <c r="A264" s="5">
        <f>IFERROR(__xludf.DUMMYFUNCTION("""COMPUTED_VALUE"""),46285.99861111111)</f>
        <v>46285.99861</v>
      </c>
      <c r="B264" s="4">
        <f>IFERROR(__xludf.DUMMYFUNCTION("""COMPUTED_VALUE"""),96.0131)</f>
        <v>96.0131</v>
      </c>
    </row>
    <row r="265">
      <c r="A265" s="5">
        <f>IFERROR(__xludf.DUMMYFUNCTION("""COMPUTED_VALUE"""),46286.99861111111)</f>
        <v>46286.99861</v>
      </c>
      <c r="B265" s="4">
        <f>IFERROR(__xludf.DUMMYFUNCTION("""COMPUTED_VALUE"""),95.712)</f>
        <v>95.712</v>
      </c>
    </row>
    <row r="266">
      <c r="A266" s="5">
        <f>IFERROR(__xludf.DUMMYFUNCTION("""COMPUTED_VALUE"""),46287.99861111111)</f>
        <v>46287.99861</v>
      </c>
      <c r="B266" s="4">
        <f>IFERROR(__xludf.DUMMYFUNCTION("""COMPUTED_VALUE"""),95.6898)</f>
        <v>95.6898</v>
      </c>
    </row>
    <row r="267">
      <c r="A267" s="5">
        <f>IFERROR(__xludf.DUMMYFUNCTION("""COMPUTED_VALUE"""),46288.99861111111)</f>
        <v>46288.99861</v>
      </c>
      <c r="B267" s="4">
        <f>IFERROR(__xludf.DUMMYFUNCTION("""COMPUTED_VALUE"""),95.7412)</f>
        <v>95.7412</v>
      </c>
    </row>
    <row r="268">
      <c r="A268" s="5">
        <f>IFERROR(__xludf.DUMMYFUNCTION("""COMPUTED_VALUE"""),46289.99861111111)</f>
        <v>46289.99861</v>
      </c>
      <c r="B268" s="4">
        <f>IFERROR(__xludf.DUMMYFUNCTION("""COMPUTED_VALUE"""),96.1613)</f>
        <v>96.1613</v>
      </c>
    </row>
    <row r="269">
      <c r="A269" s="5">
        <f>IFERROR(__xludf.DUMMYFUNCTION("""COMPUTED_VALUE"""),46290.99861111111)</f>
        <v>46290.99861</v>
      </c>
      <c r="B269" s="4">
        <f>IFERROR(__xludf.DUMMYFUNCTION("""COMPUTED_VALUE"""),95.8174)</f>
        <v>95.8174</v>
      </c>
    </row>
    <row r="270">
      <c r="A270" s="5">
        <f>IFERROR(__xludf.DUMMYFUNCTION("""COMPUTED_VALUE"""),46291.99861111111)</f>
        <v>46291.99861</v>
      </c>
      <c r="B270" s="4">
        <f>IFERROR(__xludf.DUMMYFUNCTION("""COMPUTED_VALUE"""),95.81)</f>
        <v>95.81</v>
      </c>
    </row>
    <row r="271">
      <c r="A271" s="5">
        <f>IFERROR(__xludf.DUMMYFUNCTION("""COMPUTED_VALUE"""),46292.99861111111)</f>
        <v>46292.99861</v>
      </c>
      <c r="B271" s="4">
        <f>IFERROR(__xludf.DUMMYFUNCTION("""COMPUTED_VALUE"""),95.7883)</f>
        <v>95.7883</v>
      </c>
    </row>
    <row r="272">
      <c r="A272" s="5">
        <f>IFERROR(__xludf.DUMMYFUNCTION("""COMPUTED_VALUE"""),46293.99861111111)</f>
        <v>46293.99861</v>
      </c>
      <c r="B272" s="4">
        <f>IFERROR(__xludf.DUMMYFUNCTION("""COMPUTED_VALUE"""),95.9816)</f>
        <v>95.9816</v>
      </c>
    </row>
    <row r="273">
      <c r="A273" s="5">
        <f>IFERROR(__xludf.DUMMYFUNCTION("""COMPUTED_VALUE"""),46294.99861111111)</f>
        <v>46294.99861</v>
      </c>
      <c r="B273" s="4">
        <f>IFERROR(__xludf.DUMMYFUNCTION("""COMPUTED_VALUE"""),96.0507)</f>
        <v>96.0507</v>
      </c>
    </row>
    <row r="274">
      <c r="A274" s="5">
        <f>IFERROR(__xludf.DUMMYFUNCTION("""COMPUTED_VALUE"""),46295.99861111111)</f>
        <v>46295.99861</v>
      </c>
      <c r="B274" s="4">
        <f>IFERROR(__xludf.DUMMYFUNCTION("""COMPUTED_VALUE"""),95.9271)</f>
        <v>95.9271</v>
      </c>
    </row>
    <row r="275">
      <c r="A275" s="5">
        <f>IFERROR(__xludf.DUMMYFUNCTION("""COMPUTED_VALUE"""),46296.99861111111)</f>
        <v>46296.99861</v>
      </c>
      <c r="B275" s="4">
        <f>IFERROR(__xludf.DUMMYFUNCTION("""COMPUTED_VALUE"""),96.2248)</f>
        <v>96.2248</v>
      </c>
    </row>
    <row r="276">
      <c r="A276" s="5">
        <f>IFERROR(__xludf.DUMMYFUNCTION("""COMPUTED_VALUE"""),46297.99861111111)</f>
        <v>46297.99861</v>
      </c>
      <c r="B276" s="4">
        <f>IFERROR(__xludf.DUMMYFUNCTION("""COMPUTED_VALUE"""),95.4025)</f>
        <v>95.4025</v>
      </c>
    </row>
    <row r="277">
      <c r="A277" s="5">
        <f>IFERROR(__xludf.DUMMYFUNCTION("""COMPUTED_VALUE"""),46299.99861111111)</f>
        <v>46299.99861</v>
      </c>
      <c r="B277" s="4">
        <f>IFERROR(__xludf.DUMMYFUNCTION("""COMPUTED_VALUE"""),96.32555)</f>
        <v>96.32555</v>
      </c>
    </row>
    <row r="278">
      <c r="A278" s="5">
        <f>IFERROR(__xludf.DUMMYFUNCTION("""COMPUTED_VALUE"""),46300.99861111111)</f>
        <v>46300.99861</v>
      </c>
      <c r="B278" s="4">
        <f>IFERROR(__xludf.DUMMYFUNCTION("""COMPUTED_VALUE"""),96.34305)</f>
        <v>96.34305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B1" s="4" t="str">
        <f>Prices!B1</f>
        <v>ONGC</v>
      </c>
      <c r="C1" s="4" t="str">
        <f>Prices!C1</f>
        <v>HAL</v>
      </c>
      <c r="D1" s="4" t="str">
        <f>Prices!D1</f>
        <v>TCS</v>
      </c>
      <c r="E1" s="4" t="str">
        <f>Prices!E1</f>
        <v>BPCL</v>
      </c>
      <c r="F1" s="4" t="str">
        <f>Prices!F1</f>
        <v>GOLDBEES</v>
      </c>
      <c r="G1" s="4" t="str">
        <f>Prices!G1</f>
        <v>NIFTY</v>
      </c>
      <c r="H1" s="1" t="s">
        <v>2</v>
      </c>
    </row>
    <row r="2">
      <c r="A2" s="4" t="str">
        <f>Events!A2</f>
        <v>War begins</v>
      </c>
      <c r="B2" s="6">
        <f t="array" ref="B2">LET(m, MATCH(Events!$B2, Prices!$A$3:$A$300, 1), later, INDEX(Prices!B$3:B$300, m+5), IF(later="", "", later / INDEX(Prices!B$3:B$300, m) - 1))</f>
        <v>-0.03181980694</v>
      </c>
      <c r="C2" s="6">
        <f t="array" ref="C2">LET(m, MATCH(Events!$B2, Prices!$A$3:$A$300, 1), later, INDEX(Prices!C$3:C$300, m+5), IF(later="", "", later / INDEX(Prices!C$3:C$300, m) - 1))</f>
        <v>0.0196003271</v>
      </c>
      <c r="D2" s="6">
        <f t="array" ref="D2">LET(m, MATCH(Events!$B2, Prices!$A$3:$A$300, 1), later, INDEX(Prices!D$3:D$300, m+5), IF(later="", "", later / INDEX(Prices!D$3:D$300, m) - 1))</f>
        <v>-0.04170774247</v>
      </c>
      <c r="E2" s="6">
        <f t="array" ref="E2">LET(m, MATCH(Events!$B2, Prices!$A$3:$A$300, 1), later, INDEX(Prices!E$3:E$300, m+5), IF(later="", "", later / INDEX(Prices!E$3:E$300, m) - 1))</f>
        <v>-0.1407628438</v>
      </c>
      <c r="F2" s="6">
        <f t="array" ref="F2">LET(m, MATCH(Events!$B2, Prices!$A$3:$A$300, 1), later, INDEX(Prices!F$3:F$300, m+5), IF(later="", "", later / INDEX(Prices!F$3:F$300, m) - 1))</f>
        <v>-0.001899696049</v>
      </c>
      <c r="G2" s="6">
        <f t="array" ref="G2">LET(m, MATCH(Events!$B2, Prices!$A$3:$A$300, 1), later, INDEX(Prices!G$3:G$300, m+5), IF(later="", "", later / INDEX(Prices!G$3:G$300, m) - 1))</f>
        <v>-0.04569744605</v>
      </c>
      <c r="H2" s="6">
        <f>LET(d, Events!$B2, base, LOOKUP(d, Macro!$A$3:$A$301, Macro!$B$3:$B$301), later, LOOKUP(d+7, Macro!$A$3:$A$301, Macro!$B$3:$B$301), IF(d+7&gt;MAX(Macro!$A$3:$A$301), "", later/base-1))</f>
        <v>0.009437794657</v>
      </c>
    </row>
    <row r="3">
      <c r="A3" s="4" t="str">
        <f>Events!A3</f>
        <v>Ceasefire announced</v>
      </c>
      <c r="B3" s="6">
        <f t="array" ref="B3">LET(m, MATCH(Events!$B3, Prices!$A$3:$A$300, 1), later, INDEX(Prices!B$3:B$300, m+5), IF(later="", "", later / INDEX(Prices!B$3:B$300, m) - 1))</f>
        <v>0.003314146171</v>
      </c>
      <c r="C3" s="6">
        <f t="array" ref="C3">LET(m, MATCH(Events!$B3, Prices!$A$3:$A$300, 1), later, INDEX(Prices!C$3:C$300, m+5), IF(later="", "", later / INDEX(Prices!C$3:C$300, m) - 1))</f>
        <v>0.116695643</v>
      </c>
      <c r="D3" s="6">
        <f t="array" ref="D3">LET(m, MATCH(Events!$B3, Prices!$A$3:$A$300, 1), later, INDEX(Prices!D$3:D$300, m+5), IF(later="", "", later / INDEX(Prices!D$3:D$300, m) - 1))</f>
        <v>0.005945350028</v>
      </c>
      <c r="E3" s="6">
        <f t="array" ref="E3">LET(m, MATCH(Events!$B3, Prices!$A$3:$A$300, 1), later, INDEX(Prices!E$3:E$300, m+5), IF(later="", "", later / INDEX(Prices!E$3:E$300, m) - 1))</f>
        <v>0.1189403496</v>
      </c>
      <c r="F3" s="6">
        <f t="array" ref="F3">LET(m, MATCH(Events!$B3, Prices!$A$3:$A$300, 1), later, INDEX(Prices!F$3:F$300, m+5), IF(later="", "", later / INDEX(Prices!F$3:F$300, m) - 1))</f>
        <v>0.02693381508</v>
      </c>
      <c r="G3" s="6">
        <f t="array" ref="G3">LET(m, MATCH(Events!$B3, Prices!$A$3:$A$300, 1), later, INDEX(Prices!G$3:G$300, m+5), IF(later="", "", later / INDEX(Prices!G$3:G$300, m) - 1))</f>
        <v>0.04790117477</v>
      </c>
      <c r="H3" s="6">
        <f>LET(d, Events!$B3, base, LOOKUP(d, Macro!$A$3:$A$301, Macro!$B$3:$B$301), later, LOOKUP(d+7, Macro!$A$3:$A$301, Macro!$B$3:$B$301), IF(d+7&gt;MAX(Macro!$A$3:$A$301), "", later/base-1))</f>
        <v>0.003286661024</v>
      </c>
    </row>
    <row r="4">
      <c r="A4" s="4" t="str">
        <f>Events!A4</f>
        <v>Brent $111 / rupee record low</v>
      </c>
      <c r="B4" s="6">
        <f t="array" ref="B4">LET(m, MATCH(Events!$B4, Prices!$A$3:$A$300, 1), later, INDEX(Prices!B$3:B$300, m+5), IF(later="", "", later / INDEX(Prices!B$3:B$300, m) - 1))</f>
        <v>-0.05806237558</v>
      </c>
      <c r="C4" s="6">
        <f t="array" ref="C4">LET(m, MATCH(Events!$B4, Prices!$A$3:$A$300, 1), later, INDEX(Prices!C$3:C$300, m+5), IF(later="", "", later / INDEX(Prices!C$3:C$300, m) - 1))</f>
        <v>0.09892912952</v>
      </c>
      <c r="D4" s="6">
        <f t="array" ref="D4">LET(m, MATCH(Events!$B4, Prices!$A$3:$A$300, 1), later, INDEX(Prices!D$3:D$300, m+5), IF(later="", "", later / INDEX(Prices!D$3:D$300, m) - 1))</f>
        <v>-0.02961975189</v>
      </c>
      <c r="E4" s="6">
        <f t="array" ref="E4">LET(m, MATCH(Events!$B4, Prices!$A$3:$A$300, 1), later, INDEX(Prices!E$3:E$300, m+5), IF(later="", "", later / INDEX(Prices!E$3:E$300, m) - 1))</f>
        <v>0.01217505758</v>
      </c>
      <c r="F4" s="6">
        <f t="array" ref="F4">LET(m, MATCH(Events!$B4, Prices!$A$3:$A$300, 1), later, INDEX(Prices!F$3:F$300, m+5), IF(later="", "", later / INDEX(Prices!F$3:F$300, m) - 1))</f>
        <v>0.02377035697</v>
      </c>
      <c r="G4" s="6">
        <f t="array" ref="G4">LET(m, MATCH(Events!$B4, Prices!$A$3:$A$300, 1), later, INDEX(Prices!G$3:G$300, m+5), IF(later="", "", later / INDEX(Prices!G$3:G$300, m) - 1))</f>
        <v>0.006162716393</v>
      </c>
      <c r="H4" s="6">
        <f>LET(d, Events!$B4, base, LOOKUP(d, Macro!$A$3:$A$301, Macro!$B$3:$B$301), later, LOOKUP(d+7, Macro!$A$3:$A$301, Macro!$B$3:$B$301), IF(d+7&gt;MAX(Macro!$A$3:$A$301), "", later/base-1))</f>
        <v>-0.00325127533</v>
      </c>
    </row>
    <row r="5">
      <c r="A5" s="4" t="str">
        <f>Events!A5</f>
        <v>Renewed US strikes</v>
      </c>
      <c r="B5" s="6">
        <f t="array" ref="B5">LET(m, MATCH(Events!$B5, Prices!$A$3:$A$300, 1), later, INDEX(Prices!B$3:B$300, m+5), IF(later="", "", later / INDEX(Prices!B$3:B$300, m) - 1))</f>
        <v>0.01933000246</v>
      </c>
      <c r="C5" s="6">
        <f t="array" ref="C5">LET(m, MATCH(Events!$B5, Prices!$A$3:$A$300, 1), later, INDEX(Prices!C$3:C$300, m+5), IF(later="", "", later / INDEX(Prices!C$3:C$300, m) - 1))</f>
        <v>0.009567529487</v>
      </c>
      <c r="D5" s="6">
        <f t="array" ref="D5">LET(m, MATCH(Events!$B5, Prices!$A$3:$A$300, 1), later, INDEX(Prices!D$3:D$300, m+5), IF(later="", "", later / INDEX(Prices!D$3:D$300, m) - 1))</f>
        <v>0.04985449168</v>
      </c>
      <c r="E5" s="6">
        <f t="array" ref="E5">LET(m, MATCH(Events!$B5, Prices!$A$3:$A$300, 1), later, INDEX(Prices!E$3:E$300, m+5), IF(later="", "", later / INDEX(Prices!E$3:E$300, m) - 1))</f>
        <v>-0.02739289696</v>
      </c>
      <c r="F5" s="6">
        <f t="array" ref="F5">LET(m, MATCH(Events!$B5, Prices!$A$3:$A$300, 1), later, INDEX(Prices!F$3:F$300, m+5), IF(later="", "", later / INDEX(Prices!F$3:F$300, m) - 1))</f>
        <v>-0.02192612582</v>
      </c>
      <c r="G5" s="6">
        <f t="array" ref="G5">LET(m, MATCH(Events!$B5, Prices!$A$3:$A$300, 1), later, INDEX(Prices!G$3:G$300, m+5), IF(later="", "", later / INDEX(Prices!G$3:G$300, m) - 1))</f>
        <v>-0.01420772418</v>
      </c>
      <c r="H5" s="6">
        <f>LET(d, Events!$B5, base, LOOKUP(d, Macro!$A$3:$A$301, Macro!$B$3:$B$301), later, LOOKUP(d+7, Macro!$A$3:$A$301, Macro!$B$3:$B$301), IF(d+7&gt;MAX(Macro!$A$3:$A$301), "", later/base-1))</f>
        <v>0.008702483644</v>
      </c>
    </row>
    <row r="6">
      <c r="A6" s="4" t="str">
        <f>Events!A6</f>
        <v>Sensex 2026 low</v>
      </c>
      <c r="B6" s="6">
        <f t="array" ref="B6">LET(m, MATCH(Events!$B6, Prices!$A$3:$A$300, 1), later, INDEX(Prices!B$3:B$300, m+1), IF(later="", "", later / INDEX(Prices!B$3:B$300, m) - 1))</f>
        <v>-0.01519043401</v>
      </c>
      <c r="C6" s="6">
        <f t="array" ref="C6">LET(m, MATCH(Events!$B6, Prices!$A$3:$A$300, 1), later, INDEX(Prices!C$3:C$300, m+1), IF(later="", "", later / INDEX(Prices!C$3:C$300, m) - 1))</f>
        <v>-0.01435304199</v>
      </c>
      <c r="D6" s="6">
        <f t="array" ref="D6">LET(m, MATCH(Events!$B6, Prices!$A$3:$A$300, 1), later, INDEX(Prices!D$3:D$300, m+1), IF(later="", "", later / INDEX(Prices!D$3:D$300, m) - 1))</f>
        <v>0.0118989564</v>
      </c>
      <c r="E6" s="6">
        <f t="array" ref="E6">LET(m, MATCH(Events!$B6, Prices!$A$3:$A$300, 1), later, INDEX(Prices!E$3:E$300, m+1), IF(later="", "", later / INDEX(Prices!E$3:E$300, m) - 1))</f>
        <v>-0.008575197889</v>
      </c>
      <c r="F6" s="6">
        <f t="array" ref="F6">LET(m, MATCH(Events!$B6, Prices!$A$3:$A$300, 1), later, INDEX(Prices!F$3:F$300, m+1), IF(later="", "", later / INDEX(Prices!F$3:F$300, m) - 1))</f>
        <v>-0.001315897689</v>
      </c>
      <c r="G6" s="6">
        <f t="array" ref="G6">LET(m, MATCH(Events!$B6, Prices!$A$3:$A$300, 1), later, INDEX(Prices!G$3:G$300, m+1), IF(later="", "", later / INDEX(Prices!G$3:G$300, m) - 1))</f>
        <v>-0.008775245408</v>
      </c>
      <c r="H6" s="6">
        <f>LET(d, Events!$B6, base, LOOKUP(d, Macro!$A$3:$A$301, Macro!$B$3:$B$301), later, LOOKUP(d+1, Macro!$A$3:$A$301, Macro!$B$3:$B$301), IF(d+1&gt;MAX(Macro!$A$3:$A$301), "", later/base-1))</f>
        <v>0.00310339831</v>
      </c>
    </row>
    <row r="8">
      <c r="A8" s="1" t="s">
        <v>14</v>
      </c>
      <c r="B8" s="6">
        <f t="shared" ref="B8:H8" si="1">AVERAGE(B2:B5)</f>
        <v>-0.01680950847</v>
      </c>
      <c r="C8" s="6">
        <f t="shared" si="1"/>
        <v>0.06119815728</v>
      </c>
      <c r="D8" s="6">
        <f t="shared" si="1"/>
        <v>-0.003881913165</v>
      </c>
      <c r="E8" s="6">
        <f t="shared" si="1"/>
        <v>-0.00926008339</v>
      </c>
      <c r="F8" s="6">
        <f t="shared" si="1"/>
        <v>0.006719587543</v>
      </c>
      <c r="G8" s="6">
        <f t="shared" si="1"/>
        <v>-0.001460319767</v>
      </c>
      <c r="H8" s="6">
        <f t="shared" si="1"/>
        <v>0.004543915999</v>
      </c>
    </row>
  </sheetData>
  <conditionalFormatting sqref="B2:H6">
    <cfRule type="cellIs" dxfId="0" priority="1" operator="lessThan">
      <formula>0</formula>
    </cfRule>
  </conditionalFormatting>
  <conditionalFormatting sqref="B2:H6">
    <cfRule type="cellIs" dxfId="1" priority="2" operator="greaterThan">
      <formula>0</formula>
    </cfRule>
  </conditionalFormatting>
  <conditionalFormatting sqref="B2:H6">
    <cfRule type="cellIs" dxfId="1" priority="3" operator="greaterThan">
      <formula>0</formula>
    </cfRule>
  </conditionalFormatting>
  <conditionalFormatting sqref="H2:H6">
    <cfRule type="cellIs" dxfId="0" priority="4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4" t="str">
        <f>Summary!A2</f>
        <v>War begins</v>
      </c>
      <c r="B2" s="6">
        <f>IF(Summary!B2="","",Summary!B2-Summary!$G2)</f>
        <v>0.01387763911</v>
      </c>
      <c r="C2" s="6">
        <f>IF(Summary!C2="","",Summary!C2-Summary!$G2)</f>
        <v>0.06529777315</v>
      </c>
      <c r="D2" s="6">
        <f>IF(Summary!D2="","",Summary!D2-Summary!$G2)</f>
        <v>0.003989703577</v>
      </c>
      <c r="E2" s="6">
        <f>IF(Summary!E2="","",Summary!E2-Summary!$G2)</f>
        <v>-0.09506539775</v>
      </c>
      <c r="F2" s="6">
        <f>IF(Summary!F2="","",Summary!F2-Summary!$G2)</f>
        <v>0.04379775</v>
      </c>
    </row>
    <row r="3">
      <c r="A3" s="4" t="str">
        <f>Summary!A3</f>
        <v>Ceasefire announced</v>
      </c>
      <c r="B3" s="6">
        <f>IF(Summary!B3="","",Summary!B3-Summary!$G3)</f>
        <v>-0.0445870286</v>
      </c>
      <c r="C3" s="6">
        <f>IF(Summary!C3="","",Summary!C3-Summary!$G3)</f>
        <v>0.06879446824</v>
      </c>
      <c r="D3" s="6">
        <f>IF(Summary!D3="","",Summary!D3-Summary!$G3)</f>
        <v>-0.04195582474</v>
      </c>
      <c r="E3" s="6">
        <f>IF(Summary!E3="","",Summary!E3-Summary!$G3)</f>
        <v>0.07103917484</v>
      </c>
      <c r="F3" s="6">
        <f>IF(Summary!F3="","",Summary!F3-Summary!$G3)</f>
        <v>-0.02096735969</v>
      </c>
    </row>
    <row r="4">
      <c r="A4" s="4" t="str">
        <f>Summary!A4</f>
        <v>Brent $111 / rupee record low</v>
      </c>
      <c r="B4" s="6">
        <f>IF(Summary!B4="","",Summary!B4-Summary!$G4)</f>
        <v>-0.06422509197</v>
      </c>
      <c r="C4" s="6">
        <f>IF(Summary!C4="","",Summary!C4-Summary!$G4)</f>
        <v>0.09276641312</v>
      </c>
      <c r="D4" s="6">
        <f>IF(Summary!D4="","",Summary!D4-Summary!$G4)</f>
        <v>-0.03578246828</v>
      </c>
      <c r="E4" s="6">
        <f>IF(Summary!E4="","",Summary!E4-Summary!$G4)</f>
        <v>0.006012341192</v>
      </c>
      <c r="F4" s="6">
        <f>IF(Summary!F4="","",Summary!F4-Summary!$G4)</f>
        <v>0.01760764057</v>
      </c>
    </row>
    <row r="5">
      <c r="A5" s="4" t="str">
        <f>Summary!A5</f>
        <v>Renewed US strikes</v>
      </c>
      <c r="B5" s="6">
        <f>IF(Summary!B5="","",Summary!B5-Summary!$G5)</f>
        <v>0.03353772664</v>
      </c>
      <c r="C5" s="6">
        <f>IF(Summary!C5="","",Summary!C5-Summary!$G5)</f>
        <v>0.02377525367</v>
      </c>
      <c r="D5" s="6">
        <f>IF(Summary!D5="","",Summary!D5-Summary!$G5)</f>
        <v>0.06406221586</v>
      </c>
      <c r="E5" s="6">
        <f>IF(Summary!E5="","",Summary!E5-Summary!$G5)</f>
        <v>-0.01318517278</v>
      </c>
      <c r="F5" s="6">
        <f>IF(Summary!F5="","",Summary!F5-Summary!$G5)</f>
        <v>-0.00771840164</v>
      </c>
    </row>
    <row r="6">
      <c r="A6" s="4" t="str">
        <f>Summary!A6</f>
        <v>Sensex 2026 low</v>
      </c>
      <c r="B6" s="6">
        <f>IF(Summary!B6="","",Summary!B6-Summary!$G6)</f>
        <v>-0.006415188604</v>
      </c>
      <c r="C6" s="6">
        <f>IF(Summary!C6="","",Summary!C6-Summary!$G6)</f>
        <v>-0.00557779658</v>
      </c>
      <c r="D6" s="6">
        <f>IF(Summary!D6="","",Summary!D6-Summary!$G6)</f>
        <v>0.02067420181</v>
      </c>
      <c r="E6" s="6">
        <f>IF(Summary!E6="","",Summary!E6-Summary!$G6)</f>
        <v>0.0002000475193</v>
      </c>
      <c r="F6" s="6">
        <f>IF(Summary!F6="","",Summary!F6-Summary!$G6)</f>
        <v>0.00745934772</v>
      </c>
    </row>
    <row r="8">
      <c r="A8" s="1" t="s">
        <v>15</v>
      </c>
      <c r="B8" s="6">
        <f t="shared" ref="B8:F8" si="1">AVERAGE(B2:B5)</f>
        <v>-0.0153491887</v>
      </c>
      <c r="C8" s="6">
        <f t="shared" si="1"/>
        <v>0.06265847704</v>
      </c>
      <c r="D8" s="6">
        <f t="shared" si="1"/>
        <v>-0.002421593398</v>
      </c>
      <c r="E8" s="6">
        <f t="shared" si="1"/>
        <v>-0.007799763623</v>
      </c>
      <c r="F8" s="6">
        <f t="shared" si="1"/>
        <v>0.00817990731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38"/>
  </cols>
  <sheetData>
    <row r="1">
      <c r="A1" s="5">
        <f t="array" ref="A1:A297">Prices!A4:A300</f>
        <v>46024.64583</v>
      </c>
      <c r="B1" s="4" t="str">
        <f>Prices!B1</f>
        <v>ONGC</v>
      </c>
      <c r="C1" s="4" t="str">
        <f>Prices!C1</f>
        <v>HAL</v>
      </c>
      <c r="D1" s="4" t="str">
        <f>Prices!D1</f>
        <v>TCS</v>
      </c>
      <c r="E1" s="4" t="str">
        <f>Prices!E1</f>
        <v>BPCL</v>
      </c>
      <c r="F1" s="4" t="str">
        <f>Prices!F1</f>
        <v>GOLDBEES</v>
      </c>
      <c r="G1" s="4" t="str">
        <f>Prices!G1</f>
        <v>NIFTY</v>
      </c>
      <c r="H1" s="4" t="str">
        <f>Prices!H1</f>
        <v/>
      </c>
      <c r="J1" s="6"/>
    </row>
    <row r="2">
      <c r="A2" s="5">
        <v>46027.64583333333</v>
      </c>
      <c r="B2" s="6">
        <f t="array" ref="B2:B298">IF(Prices!B4:B300="","",Prices!B4:B300/Prices!B3:B299-1)</f>
        <v>0.01479364546</v>
      </c>
      <c r="C2" s="6">
        <f t="array" ref="C2:C298">IF(Prices!C4:C300="","",Prices!C4:C300/Prices!C3:C299-1)</f>
        <v>0.004524886878</v>
      </c>
      <c r="D2" s="6">
        <f t="array" ref="D2:D298">IF(Prices!D4:D300="","",Prices!D4:D300/Prices!D3:D299-1)</f>
        <v>0.0072194336</v>
      </c>
      <c r="E2" s="6">
        <f t="array" ref="E2:E298">IF(Prices!E4:E300="","",Prices!E4:E300/Prices!E3:E299-1)</f>
        <v>-0.000131061599</v>
      </c>
      <c r="F2" s="6">
        <f t="array" ref="F2:F298">IF(Prices!F4:F300="","",Prices!F4:F300/Prices!F3:F299-1)</f>
        <v>0.01176257691</v>
      </c>
      <c r="G2" s="6">
        <f t="array" ref="G2:G298">IF(Prices!G4:G300="","",Prices!G4:G300/Prices!G3:G299-1)</f>
        <v>0.006960765378</v>
      </c>
      <c r="I2" s="1" t="s">
        <v>16</v>
      </c>
      <c r="J2" s="6">
        <f>STDEV(B2:B187)*SQRT(252)</f>
        <v>0.2654077906</v>
      </c>
    </row>
    <row r="3">
      <c r="A3" s="5">
        <v>46028.64583333333</v>
      </c>
      <c r="B3" s="6">
        <v>-0.013956763024931651</v>
      </c>
      <c r="C3" s="6">
        <v>0.024514464212956666</v>
      </c>
      <c r="D3" s="6">
        <v>-0.010643861322176762</v>
      </c>
      <c r="E3" s="6">
        <v>-0.009306593262550789</v>
      </c>
      <c r="F3" s="6">
        <v>0.009837238418887617</v>
      </c>
      <c r="G3" s="6">
        <v>-0.0029720588486642496</v>
      </c>
      <c r="I3" s="1" t="s">
        <v>17</v>
      </c>
      <c r="J3" s="6">
        <f>SLOPE(B2:B187, $G2:$G187)</f>
        <v>-0.05707868118</v>
      </c>
    </row>
    <row r="4">
      <c r="A4" s="5">
        <v>46029.64583333333</v>
      </c>
      <c r="B4" s="6">
        <v>0.015960351127724648</v>
      </c>
      <c r="C4" s="6">
        <v>-0.002231501734385133</v>
      </c>
      <c r="D4" s="6">
        <v>0.012344143527875495</v>
      </c>
      <c r="E4" s="6">
        <v>-0.018788039163799897</v>
      </c>
      <c r="F4" s="6">
        <v>0.0019482819695360032</v>
      </c>
      <c r="G4" s="6">
        <v>-0.0027275878751861216</v>
      </c>
      <c r="I4" s="1" t="s">
        <v>18</v>
      </c>
      <c r="J4" s="6">
        <f>CORREL(B2:B187, $G2:$G187)</f>
        <v>-0.03172759156</v>
      </c>
    </row>
    <row r="5">
      <c r="A5" s="5">
        <v>46030.64583333333</v>
      </c>
      <c r="B5" s="6">
        <v>-0.011699532845508176</v>
      </c>
      <c r="C5" s="6">
        <v>0.00201505757307352</v>
      </c>
      <c r="D5" s="6">
        <v>0.01222433810430612</v>
      </c>
      <c r="E5" s="6">
        <v>-0.007011866235167252</v>
      </c>
      <c r="F5" s="6">
        <v>-0.002032879618172223</v>
      </c>
      <c r="G5" s="6">
        <v>-0.0014496518161711824</v>
      </c>
      <c r="J5" s="6"/>
    </row>
    <row r="6">
      <c r="A6" s="5">
        <v>46031.64583333333</v>
      </c>
      <c r="B6" s="6">
        <v>-0.03195850414121981</v>
      </c>
      <c r="C6" s="6">
        <v>-0.01001082848997814</v>
      </c>
      <c r="D6" s="6">
        <v>-0.02782497875955814</v>
      </c>
      <c r="E6" s="6">
        <v>-0.03707224334600756</v>
      </c>
      <c r="F6" s="6">
        <v>-0.005491099105482178</v>
      </c>
      <c r="G6" s="6">
        <v>-0.010095349215305638</v>
      </c>
      <c r="J6" s="6"/>
    </row>
    <row r="7">
      <c r="A7" s="5">
        <v>46034.64583333333</v>
      </c>
      <c r="B7" s="6">
        <v>0.01153746435053149</v>
      </c>
      <c r="C7" s="6">
        <v>-0.003951069244162664</v>
      </c>
      <c r="D7" s="6">
        <v>0.0012172664565062163</v>
      </c>
      <c r="E7" s="6">
        <v>-0.0011281906642223172</v>
      </c>
      <c r="F7" s="6">
        <v>0.011755276516163482</v>
      </c>
      <c r="G7" s="6">
        <v>-0.007479658459201954</v>
      </c>
      <c r="J7" s="6"/>
    </row>
    <row r="8">
      <c r="A8" s="5">
        <v>46035.64583333333</v>
      </c>
      <c r="B8" s="6">
        <v>0.006920415224913601</v>
      </c>
      <c r="C8" s="6">
        <v>0.012617377468008062</v>
      </c>
      <c r="D8" s="6">
        <v>0.0099133362429078</v>
      </c>
      <c r="E8" s="6">
        <v>0.012988846533954712</v>
      </c>
      <c r="F8" s="6">
        <v>0.027726432532347633</v>
      </c>
      <c r="G8" s="6">
        <v>0.004164184509000135</v>
      </c>
      <c r="J8" s="6"/>
    </row>
    <row r="9">
      <c r="A9" s="5">
        <v>46036.64583333333</v>
      </c>
      <c r="B9" s="6">
        <v>0.03423698612702042</v>
      </c>
      <c r="C9" s="6">
        <v>-0.014606940509915067</v>
      </c>
      <c r="D9" s="6">
        <v>0.008766514384491941</v>
      </c>
      <c r="E9" s="6">
        <v>-0.010174216027874494</v>
      </c>
      <c r="F9" s="6">
        <v>-0.0033401849948612172</v>
      </c>
      <c r="G9" s="6">
        <v>-0.002246973177848277</v>
      </c>
      <c r="J9" s="6"/>
    </row>
    <row r="10">
      <c r="A10" s="5">
        <v>46038.64583333333</v>
      </c>
      <c r="B10" s="6">
        <v>0.018254163590122108</v>
      </c>
      <c r="C10" s="6">
        <v>0.0020213817267091816</v>
      </c>
      <c r="D10" s="6">
        <v>-0.023102815177478586</v>
      </c>
      <c r="E10" s="6">
        <v>0.005068994649394476</v>
      </c>
      <c r="F10" s="6">
        <v>0.014092979290195151</v>
      </c>
      <c r="G10" s="6">
        <v>-0.0025920729977498835</v>
      </c>
      <c r="J10" s="6"/>
    </row>
    <row r="11">
      <c r="A11" s="5">
        <v>46041.64583333333</v>
      </c>
      <c r="B11" s="6">
        <v>-0.004270233251420064</v>
      </c>
      <c r="C11" s="6">
        <v>-0.007329537813242415</v>
      </c>
      <c r="D11" s="6">
        <v>0.004447924823805849</v>
      </c>
      <c r="E11" s="6">
        <v>0.01765200336228645</v>
      </c>
      <c r="F11" s="6">
        <v>-0.0019489873739514385</v>
      </c>
      <c r="G11" s="6">
        <v>0.0011201764229162858</v>
      </c>
      <c r="J11" s="6"/>
    </row>
    <row r="12">
      <c r="A12" s="5">
        <v>46042.64583333333</v>
      </c>
      <c r="B12" s="6">
        <v>-0.01642594165958644</v>
      </c>
      <c r="C12" s="6">
        <v>0.01707047214758295</v>
      </c>
      <c r="D12" s="6">
        <v>-0.01344060872548103</v>
      </c>
      <c r="E12" s="6">
        <v>-0.005368942731277526</v>
      </c>
      <c r="F12" s="6">
        <v>0.02818814739344533</v>
      </c>
      <c r="G12" s="6">
        <v>-0.004236339895735797</v>
      </c>
      <c r="J12" s="6"/>
    </row>
    <row r="13">
      <c r="A13" s="5">
        <v>46043.64583333333</v>
      </c>
      <c r="B13" s="6">
        <v>-0.011188350952243908</v>
      </c>
      <c r="C13" s="6">
        <v>-0.033101702817307954</v>
      </c>
      <c r="D13" s="6">
        <v>-0.019376659501833315</v>
      </c>
      <c r="E13" s="6">
        <v>-0.016747404844290714</v>
      </c>
      <c r="F13" s="6">
        <v>0.03930635838150298</v>
      </c>
      <c r="G13" s="6">
        <v>-0.013796877137441155</v>
      </c>
      <c r="J13" s="6"/>
    </row>
    <row r="14">
      <c r="A14" s="5">
        <v>46044.64583333333</v>
      </c>
      <c r="B14" s="6">
        <v>0.008236615499812805</v>
      </c>
      <c r="C14" s="6">
        <v>-0.02199669360764145</v>
      </c>
      <c r="D14" s="6">
        <v>0.006543532218031611</v>
      </c>
      <c r="E14" s="6">
        <v>-0.009149774774774744</v>
      </c>
      <c r="F14" s="6">
        <v>0.07238201175909742</v>
      </c>
      <c r="G14" s="6">
        <v>-0.0029723570791637677</v>
      </c>
      <c r="J14" s="6"/>
    </row>
    <row r="15">
      <c r="A15" s="5">
        <v>46045.64583333333</v>
      </c>
      <c r="B15" s="6">
        <v>0.00676651400750905</v>
      </c>
      <c r="C15" s="6">
        <v>0.022021881016105693</v>
      </c>
      <c r="D15" s="6">
        <v>0.008902837379107131</v>
      </c>
      <c r="E15" s="6">
        <v>0.006250887910214553</v>
      </c>
      <c r="F15" s="6">
        <v>-0.07875824257242348</v>
      </c>
      <c r="G15" s="6">
        <v>0.005262844082281726</v>
      </c>
      <c r="J15" s="6"/>
    </row>
    <row r="16">
      <c r="A16" s="5">
        <v>46049.64583333333</v>
      </c>
      <c r="B16" s="6">
        <v>0.005983361337650095</v>
      </c>
      <c r="C16" s="6">
        <v>-0.010911513369475379</v>
      </c>
      <c r="D16" s="6">
        <v>0.003840782122904951</v>
      </c>
      <c r="E16" s="6">
        <v>-0.014118311449950571</v>
      </c>
      <c r="F16" s="6">
        <v>0.02477078976998559</v>
      </c>
      <c r="G16" s="6">
        <v>-0.0095393813340503</v>
      </c>
      <c r="J16" s="6"/>
    </row>
    <row r="17">
      <c r="A17" s="5">
        <v>46050.64583333333</v>
      </c>
      <c r="B17" s="6">
        <v>0.010103067584633418</v>
      </c>
      <c r="C17" s="6">
        <v>0.009940311679866198</v>
      </c>
      <c r="D17" s="6">
        <v>-0.0014229249011857847</v>
      </c>
      <c r="E17" s="6">
        <v>0.023628812831161472</v>
      </c>
      <c r="F17" s="6">
        <v>0.031627687961073514</v>
      </c>
      <c r="G17" s="6">
        <v>0.005060152942374163</v>
      </c>
      <c r="J17" s="6"/>
    </row>
    <row r="18">
      <c r="A18" s="5">
        <v>46051.64583333333</v>
      </c>
      <c r="B18" s="6">
        <v>0.08320225851986285</v>
      </c>
      <c r="C18" s="6">
        <v>0.06335517994710815</v>
      </c>
      <c r="D18" s="6">
        <v>0.013331222292590317</v>
      </c>
      <c r="E18" s="6">
        <v>0.013850027979854573</v>
      </c>
      <c r="F18" s="6">
        <v>0.03324457968809447</v>
      </c>
      <c r="G18" s="6">
        <v>0.006647362107454091</v>
      </c>
      <c r="J18" s="6"/>
    </row>
    <row r="19">
      <c r="A19" s="5">
        <v>46052.64583333333</v>
      </c>
      <c r="B19" s="6">
        <v>0.025355573758284233</v>
      </c>
      <c r="C19" s="6">
        <v>-0.004974048442906609</v>
      </c>
      <c r="D19" s="6">
        <v>-0.017405706071685234</v>
      </c>
      <c r="E19" s="6">
        <v>0.012694908237891545</v>
      </c>
      <c r="F19" s="6">
        <v>0.07885436607274343</v>
      </c>
      <c r="G19" s="6">
        <v>0.003004804135305017</v>
      </c>
      <c r="J19" s="6"/>
    </row>
    <row r="20">
      <c r="A20" s="5">
        <v>46055.64583333333</v>
      </c>
      <c r="B20" s="6">
        <v>-0.02334870547223944</v>
      </c>
      <c r="C20" s="6">
        <v>0.003999130623777436</v>
      </c>
      <c r="D20" s="6">
        <v>-0.0065195267777636845</v>
      </c>
      <c r="E20" s="6">
        <v>-0.006676658945360403</v>
      </c>
      <c r="F20" s="6">
        <v>-0.10516617757455804</v>
      </c>
      <c r="G20" s="6">
        <v>-0.00386523413680373</v>
      </c>
      <c r="J20" s="6"/>
    </row>
    <row r="21">
      <c r="A21" s="5">
        <v>46056.64583333333</v>
      </c>
      <c r="B21" s="6">
        <v>-0.055807555026769706</v>
      </c>
      <c r="C21" s="6">
        <v>-0.06076546737671551</v>
      </c>
      <c r="D21" s="6">
        <v>0.014629149460610114</v>
      </c>
      <c r="E21" s="6">
        <v>0.006035665294924497</v>
      </c>
      <c r="F21" s="6">
        <v>-0.09495118974984751</v>
      </c>
      <c r="G21" s="6">
        <v>-0.009172355370024032</v>
      </c>
      <c r="J21" s="6"/>
    </row>
    <row r="22">
      <c r="A22" s="5">
        <v>46057.64583333333</v>
      </c>
      <c r="B22" s="6">
        <v>0.012010238235873327</v>
      </c>
      <c r="C22" s="6">
        <v>0.030354714545831607</v>
      </c>
      <c r="D22" s="6">
        <v>0.017573195355880866</v>
      </c>
      <c r="E22" s="6">
        <v>0.018407417507499302</v>
      </c>
      <c r="F22" s="6">
        <v>0.05502654419819675</v>
      </c>
      <c r="G22" s="6">
        <v>0.02547591715693298</v>
      </c>
      <c r="J22" s="6"/>
    </row>
    <row r="23">
      <c r="A23" s="5">
        <v>46058.64583333333</v>
      </c>
      <c r="B23" s="6">
        <v>0.03871595330739286</v>
      </c>
      <c r="C23" s="6">
        <v>-0.056661596277737813</v>
      </c>
      <c r="D23" s="6">
        <v>-0.07013301088270862</v>
      </c>
      <c r="E23" s="6">
        <v>0.024099611728477743</v>
      </c>
      <c r="F23" s="6">
        <v>0.03514376996805102</v>
      </c>
      <c r="G23" s="6">
        <v>0.001883195251782599</v>
      </c>
      <c r="J23" s="6"/>
    </row>
    <row r="24">
      <c r="A24" s="5">
        <v>46059.64583333333</v>
      </c>
      <c r="B24" s="6">
        <v>0.008428544671286842</v>
      </c>
      <c r="C24" s="6">
        <v>-0.04306276825306499</v>
      </c>
      <c r="D24" s="6">
        <v>-0.0025340935614017734</v>
      </c>
      <c r="E24" s="6">
        <v>-0.0010458883514183892</v>
      </c>
      <c r="F24" s="6">
        <v>-0.03379629629629621</v>
      </c>
      <c r="G24" s="6">
        <v>-0.00516759776536313</v>
      </c>
      <c r="J24" s="6"/>
    </row>
    <row r="25">
      <c r="A25" s="5">
        <v>46062.64583333333</v>
      </c>
      <c r="B25" s="6">
        <v>-9.28677563150071E-4</v>
      </c>
      <c r="C25" s="6">
        <v>0.007929624581836103</v>
      </c>
      <c r="D25" s="6">
        <v>-0.016680595019221145</v>
      </c>
      <c r="E25" s="6">
        <v>0.01125507132574266</v>
      </c>
      <c r="F25" s="6">
        <v>-0.0014374700527072237</v>
      </c>
      <c r="G25" s="6">
        <v>0.0019849626405852305</v>
      </c>
      <c r="J25" s="6"/>
    </row>
    <row r="26">
      <c r="A26" s="5">
        <v>46063.64583333333</v>
      </c>
      <c r="B26" s="6">
        <v>-0.008737683584309264</v>
      </c>
      <c r="C26" s="6">
        <v>0.015611555009219513</v>
      </c>
      <c r="D26" s="6">
        <v>0.002243676910524961</v>
      </c>
      <c r="E26" s="6">
        <v>0.00504723696130438</v>
      </c>
      <c r="F26" s="6">
        <v>0.023512476007677474</v>
      </c>
      <c r="G26" s="6">
        <v>0.0067565200807979675</v>
      </c>
      <c r="J26" s="6"/>
    </row>
    <row r="27">
      <c r="A27" s="5">
        <v>46064.64583333333</v>
      </c>
      <c r="B27" s="6">
        <v>0.02081770442610642</v>
      </c>
      <c r="C27" s="6">
        <v>0.009029290728637118</v>
      </c>
      <c r="D27" s="6">
        <v>0.012346516518553674</v>
      </c>
      <c r="E27" s="6">
        <v>-0.005021890291012077</v>
      </c>
      <c r="F27" s="6">
        <v>0.002812939521800173</v>
      </c>
      <c r="G27" s="6">
        <v>0.002623002787302875</v>
      </c>
      <c r="J27" s="6"/>
    </row>
    <row r="28">
      <c r="A28" s="5">
        <v>46065.64583333333</v>
      </c>
      <c r="B28" s="6">
        <v>0.009002388388756444</v>
      </c>
      <c r="C28" s="6">
        <v>-0.008468680277331275</v>
      </c>
      <c r="D28" s="6">
        <v>-0.025061984855591968</v>
      </c>
      <c r="E28" s="6">
        <v>0.0032354083085286423</v>
      </c>
      <c r="F28" s="6">
        <v>0.0028050490883588797</v>
      </c>
      <c r="G28" s="6">
        <v>7.210291824029103E-4</v>
      </c>
      <c r="J28" s="6"/>
    </row>
    <row r="29">
      <c r="A29" s="5">
        <v>46066.64583333333</v>
      </c>
      <c r="B29" s="6">
        <v>0.006372906045156501</v>
      </c>
      <c r="C29" s="6">
        <v>0.006266634406000504</v>
      </c>
      <c r="D29" s="6">
        <v>-0.05488349714757035</v>
      </c>
      <c r="E29" s="6">
        <v>-0.025541795665634748</v>
      </c>
      <c r="F29" s="6">
        <v>-0.0013986013986012624</v>
      </c>
      <c r="G29" s="6">
        <v>-0.005650414100412782</v>
      </c>
      <c r="J29" s="6"/>
    </row>
    <row r="30">
      <c r="A30" s="5">
        <v>46069.64583333333</v>
      </c>
      <c r="B30" s="6">
        <v>-0.03238646643748888</v>
      </c>
      <c r="C30" s="6">
        <v>0.012863978455841751</v>
      </c>
      <c r="D30" s="6">
        <v>-0.021053779862550526</v>
      </c>
      <c r="E30" s="6">
        <v>-0.009531374106433566</v>
      </c>
      <c r="F30" s="6">
        <v>-0.01882975412387189</v>
      </c>
      <c r="G30" s="6">
        <v>-0.013023497318577881</v>
      </c>
      <c r="J30" s="6"/>
    </row>
    <row r="31">
      <c r="A31" s="5">
        <v>46070.64583333333</v>
      </c>
      <c r="B31" s="6">
        <v>0.015519820493642644</v>
      </c>
      <c r="C31" s="6">
        <v>0.003252302725287315</v>
      </c>
      <c r="D31" s="6">
        <v>0.005348785379986731</v>
      </c>
      <c r="E31" s="6">
        <v>6.682705159049007E-4</v>
      </c>
      <c r="F31" s="6">
        <v>0.0065027755749405</v>
      </c>
      <c r="G31" s="6">
        <v>0.008309417339651626</v>
      </c>
      <c r="J31" s="6"/>
    </row>
    <row r="32">
      <c r="A32" s="5">
        <v>46071.64583333333</v>
      </c>
      <c r="B32" s="6">
        <v>0.0011047689191678867</v>
      </c>
      <c r="C32" s="6">
        <v>0.005087432857717511</v>
      </c>
      <c r="D32" s="6">
        <v>0.0039902460651741745</v>
      </c>
      <c r="E32" s="6">
        <v>0.001602778148791062</v>
      </c>
      <c r="F32" s="6">
        <v>-0.018436810589347652</v>
      </c>
      <c r="G32" s="6">
        <v>0.0016606477110123752</v>
      </c>
      <c r="J32" s="6"/>
    </row>
    <row r="33">
      <c r="A33" s="5">
        <v>46072.64583333333</v>
      </c>
      <c r="B33" s="6">
        <v>-0.026669118999448238</v>
      </c>
      <c r="C33" s="6">
        <v>8.239947264336855E-4</v>
      </c>
      <c r="D33" s="6">
        <v>-0.008279973504084825</v>
      </c>
      <c r="E33" s="6">
        <v>0.01586878250433399</v>
      </c>
      <c r="F33" s="6">
        <v>4.816182372773259E-4</v>
      </c>
      <c r="G33" s="6">
        <v>0.0036520326214557475</v>
      </c>
      <c r="J33" s="6"/>
    </row>
    <row r="34">
      <c r="A34" s="5">
        <v>46073.64583333333</v>
      </c>
      <c r="B34" s="6">
        <v>0.03798185941043064</v>
      </c>
      <c r="C34" s="6">
        <v>-0.027875138199524807</v>
      </c>
      <c r="D34" s="6">
        <v>-0.006308211807488195</v>
      </c>
      <c r="E34" s="6">
        <v>-0.03478603307954842</v>
      </c>
      <c r="F34" s="6">
        <v>0.019656611039794658</v>
      </c>
      <c r="G34" s="6">
        <v>-0.014136684308474035</v>
      </c>
      <c r="J34" s="6"/>
    </row>
    <row r="35">
      <c r="A35" s="5">
        <v>46076.64583333333</v>
      </c>
      <c r="B35" s="6">
        <v>0.014563990533406068</v>
      </c>
      <c r="C35" s="6">
        <v>0.00904999274064755</v>
      </c>
      <c r="D35" s="6">
        <v>0.003099443593860718</v>
      </c>
      <c r="E35" s="6">
        <v>-0.003671970624234966</v>
      </c>
      <c r="F35" s="6">
        <v>0.0035407978597843393</v>
      </c>
      <c r="G35" s="6">
        <v>0.004592535264110076</v>
      </c>
      <c r="J35" s="6"/>
    </row>
    <row r="36">
      <c r="A36" s="5">
        <v>46077.64583333333</v>
      </c>
      <c r="B36" s="6">
        <v>-0.010766194150367836</v>
      </c>
      <c r="C36" s="6">
        <v>-0.034676258992805686</v>
      </c>
      <c r="D36" s="6">
        <v>-0.003685503685503577</v>
      </c>
      <c r="E36" s="6">
        <v>0.01583401583401578</v>
      </c>
      <c r="F36" s="6">
        <v>0.019288066488944544</v>
      </c>
      <c r="G36" s="6">
        <v>0.00554333479982394</v>
      </c>
      <c r="J36" s="6"/>
    </row>
    <row r="37">
      <c r="A37" s="5">
        <v>46078.64583333333</v>
      </c>
      <c r="B37" s="6">
        <v>0.0030836205332851474</v>
      </c>
      <c r="C37" s="6">
        <v>-0.01808515923883347</v>
      </c>
      <c r="D37" s="6">
        <v>-0.038336509359937376</v>
      </c>
      <c r="E37" s="6">
        <v>0.006315506584251507</v>
      </c>
      <c r="F37" s="6">
        <v>0.009384615384615325</v>
      </c>
      <c r="G37" s="6">
        <v>-0.011214171819702079</v>
      </c>
      <c r="J37" s="6"/>
    </row>
    <row r="38">
      <c r="A38" s="5">
        <v>46079.64583333333</v>
      </c>
      <c r="B38" s="6">
        <v>0.0034358047016274096</v>
      </c>
      <c r="C38" s="6">
        <v>0.008197136062338739</v>
      </c>
      <c r="D38" s="6">
        <v>0.021603139449042352</v>
      </c>
      <c r="E38" s="6">
        <v>0.017625851248497915</v>
      </c>
      <c r="F38" s="6">
        <v>0.003581771071482942</v>
      </c>
      <c r="G38" s="6">
        <v>0.002275350889786143</v>
      </c>
      <c r="J38" s="6"/>
    </row>
    <row r="39">
      <c r="A39" s="5">
        <v>46080.64583333333</v>
      </c>
      <c r="B39" s="6">
        <v>0.009551270499189135</v>
      </c>
      <c r="C39" s="6">
        <v>0.005997490589711552</v>
      </c>
      <c r="D39" s="6">
        <v>0.006998060320237087</v>
      </c>
      <c r="E39" s="6">
        <v>0.012990421204566394</v>
      </c>
      <c r="F39" s="6">
        <v>-0.009188245121117822</v>
      </c>
      <c r="G39" s="6">
        <v>5.51358775630284E-4</v>
      </c>
      <c r="J39" s="6"/>
    </row>
    <row r="40">
      <c r="A40" s="5">
        <v>46083.64583333333</v>
      </c>
      <c r="B40" s="6">
        <v>-0.001428061406640646</v>
      </c>
      <c r="C40" s="6">
        <v>-0.023871885055750997</v>
      </c>
      <c r="D40" s="6">
        <v>-0.0038901688257731992</v>
      </c>
      <c r="E40" s="6">
        <v>-0.0015544041450777923</v>
      </c>
      <c r="F40" s="6">
        <v>0.008583690987124415</v>
      </c>
      <c r="G40" s="6">
        <v>-0.012468353561560175</v>
      </c>
      <c r="J40" s="6"/>
    </row>
    <row r="41">
      <c r="A41" s="5">
        <v>46085.64583333333</v>
      </c>
      <c r="B41" s="6">
        <v>0.008938148015731118</v>
      </c>
      <c r="C41" s="6">
        <v>0.009812940815700832</v>
      </c>
      <c r="D41" s="6">
        <v>-0.009061954955638107</v>
      </c>
      <c r="E41" s="6">
        <v>-0.0275038920601971</v>
      </c>
      <c r="F41" s="6">
        <v>0.051063829787234116</v>
      </c>
      <c r="G41" s="6">
        <v>-0.012429181072059148</v>
      </c>
      <c r="J41" s="6"/>
    </row>
    <row r="42">
      <c r="A42" s="5">
        <v>46086.64583333333</v>
      </c>
      <c r="B42" s="6">
        <v>-0.018603827072997903</v>
      </c>
      <c r="C42" s="6">
        <v>-0.02171272395991486</v>
      </c>
      <c r="D42" s="6">
        <v>-0.009833556533384247</v>
      </c>
      <c r="E42" s="6">
        <v>-0.04909284951974391</v>
      </c>
      <c r="F42" s="6">
        <v>-0.03152111046847883</v>
      </c>
      <c r="G42" s="6">
        <v>-0.015491218827541564</v>
      </c>
      <c r="J42" s="6"/>
    </row>
    <row r="43">
      <c r="A43" s="5">
        <v>46087.64583333333</v>
      </c>
      <c r="B43" s="6">
        <v>-0.002166456038996123</v>
      </c>
      <c r="C43" s="6">
        <v>0.006725645403280023</v>
      </c>
      <c r="D43" s="6">
        <v>-0.003477857639693993</v>
      </c>
      <c r="E43" s="6">
        <v>0.011083052749719435</v>
      </c>
      <c r="F43" s="6">
        <v>-0.012839653627948588</v>
      </c>
      <c r="G43" s="6">
        <v>0.01165825861399905</v>
      </c>
      <c r="J43" s="6"/>
    </row>
    <row r="44">
      <c r="A44" s="5">
        <v>46090.64583333333</v>
      </c>
      <c r="B44" s="6">
        <v>0.00940835896508041</v>
      </c>
      <c r="C44" s="6">
        <v>0.033891772444627044</v>
      </c>
      <c r="D44" s="6">
        <v>-0.008220877927718417</v>
      </c>
      <c r="E44" s="6">
        <v>-0.02109060635493276</v>
      </c>
      <c r="F44" s="6">
        <v>-0.010738052026618372</v>
      </c>
      <c r="G44" s="6">
        <v>-0.012737271813259343</v>
      </c>
      <c r="J44" s="6"/>
    </row>
    <row r="45">
      <c r="A45" s="5">
        <v>46091.64583333333</v>
      </c>
      <c r="B45" s="6">
        <v>-0.029216705502778217</v>
      </c>
      <c r="C45" s="6">
        <v>-0.008400228645276675</v>
      </c>
      <c r="D45" s="6">
        <v>-0.011807944948388993</v>
      </c>
      <c r="E45" s="6">
        <v>-0.06123316796598166</v>
      </c>
      <c r="F45" s="6">
        <v>0.004051368292310009</v>
      </c>
      <c r="G45" s="6">
        <v>-0.017275755660938863</v>
      </c>
      <c r="J45" s="6"/>
    </row>
    <row r="46">
      <c r="A46" s="5">
        <v>46092.64583333333</v>
      </c>
      <c r="B46" s="6">
        <v>-0.005908419497784423</v>
      </c>
      <c r="C46" s="6">
        <v>0.01258176896664076</v>
      </c>
      <c r="D46" s="6">
        <v>-0.005657988446625017</v>
      </c>
      <c r="E46" s="6">
        <v>-0.015853842669485085</v>
      </c>
      <c r="F46" s="6">
        <v>0.006471259992386624</v>
      </c>
      <c r="G46" s="6">
        <v>0.009719889878704313</v>
      </c>
      <c r="J46" s="6"/>
    </row>
    <row r="47">
      <c r="A47" s="5">
        <v>46093.64583333333</v>
      </c>
      <c r="B47" s="6">
        <v>0.00575780089153044</v>
      </c>
      <c r="C47" s="6">
        <v>-0.008663151902180588</v>
      </c>
      <c r="D47" s="6">
        <v>-0.019179499423023327</v>
      </c>
      <c r="E47" s="6">
        <v>-0.002608162012887272</v>
      </c>
      <c r="F47" s="6">
        <v>0.003857791225416074</v>
      </c>
      <c r="G47" s="6">
        <v>-0.016270567481122433</v>
      </c>
      <c r="J47" s="6"/>
    </row>
    <row r="48">
      <c r="A48" s="5">
        <v>46094.64583333333</v>
      </c>
      <c r="B48" s="6">
        <v>-7.386888273314129E-4</v>
      </c>
      <c r="C48" s="6">
        <v>0.0020973259094654306</v>
      </c>
      <c r="D48" s="6">
        <v>-0.009128159357377541</v>
      </c>
      <c r="E48" s="6">
        <v>0.003999384710044573</v>
      </c>
      <c r="F48" s="6">
        <v>-0.0021098636123879633</v>
      </c>
      <c r="G48" s="6">
        <v>-0.009540429507873815</v>
      </c>
      <c r="J48" s="6"/>
    </row>
    <row r="49">
      <c r="A49" s="5">
        <v>46097.64583333333</v>
      </c>
      <c r="B49" s="6">
        <v>-0.023840325263352335</v>
      </c>
      <c r="C49" s="6">
        <v>-0.02469166562850378</v>
      </c>
      <c r="D49" s="6">
        <v>-0.013060923681624703</v>
      </c>
      <c r="E49" s="6">
        <v>-0.021602573923701573</v>
      </c>
      <c r="F49" s="6">
        <v>-0.01593294570716619</v>
      </c>
      <c r="G49" s="6">
        <v>-0.020645835404403456</v>
      </c>
      <c r="J49" s="6"/>
    </row>
    <row r="50">
      <c r="A50" s="5">
        <v>46098.64583333333</v>
      </c>
      <c r="B50" s="6">
        <v>-0.01382052252934507</v>
      </c>
      <c r="C50" s="6">
        <v>-3.3210709176378916E-4</v>
      </c>
      <c r="D50" s="6">
        <v>-5.393071976769193E-4</v>
      </c>
      <c r="E50" s="6">
        <v>-0.044942060757907965</v>
      </c>
      <c r="F50" s="6">
        <v>-0.02378759975445055</v>
      </c>
      <c r="G50" s="6">
        <v>0.011131220546755971</v>
      </c>
      <c r="J50" s="6"/>
    </row>
    <row r="51">
      <c r="A51" s="5">
        <v>46099.64583333333</v>
      </c>
      <c r="B51" s="6">
        <v>0.016509886734497936</v>
      </c>
      <c r="C51" s="6">
        <v>0.01277759321254246</v>
      </c>
      <c r="D51" s="6">
        <v>-0.0072638220156068245</v>
      </c>
      <c r="E51" s="6">
        <v>-0.01606820790293484</v>
      </c>
      <c r="F51" s="6">
        <v>0.00786039930828486</v>
      </c>
      <c r="G51" s="6">
        <v>0.007362615768429004</v>
      </c>
      <c r="J51" s="6"/>
    </row>
    <row r="52">
      <c r="A52" s="5">
        <v>46100.64583333333</v>
      </c>
      <c r="B52" s="6">
        <v>9.442870632672129E-4</v>
      </c>
      <c r="C52" s="6">
        <v>-3.784915848704662E-4</v>
      </c>
      <c r="D52" s="6">
        <v>0.020529330601664286</v>
      </c>
      <c r="E52" s="6">
        <v>0.01216463922679556</v>
      </c>
      <c r="F52" s="6">
        <v>-0.002417719544532848</v>
      </c>
      <c r="G52" s="6">
        <v>0.008339287948212704</v>
      </c>
      <c r="J52" s="6"/>
    </row>
    <row r="53">
      <c r="A53" s="5">
        <v>46101.64583333333</v>
      </c>
      <c r="B53" s="6">
        <v>0.0154716981132077</v>
      </c>
      <c r="C53" s="6">
        <v>-0.04016054119547652</v>
      </c>
      <c r="D53" s="6">
        <v>-0.034742707309079024</v>
      </c>
      <c r="E53" s="6">
        <v>-0.05828119855120184</v>
      </c>
      <c r="F53" s="6">
        <v>-0.05152060042217188</v>
      </c>
      <c r="G53" s="6">
        <v>-0.03262076390582802</v>
      </c>
      <c r="J53" s="6"/>
    </row>
    <row r="54">
      <c r="A54" s="5">
        <v>46104.64583333333</v>
      </c>
      <c r="B54" s="6">
        <v>-0.013749535488666087</v>
      </c>
      <c r="C54" s="6">
        <v>-0.005285996055226838</v>
      </c>
      <c r="D54" s="6">
        <v>0.014685908319185037</v>
      </c>
      <c r="E54" s="6">
        <v>0.0062937062937062915</v>
      </c>
      <c r="F54" s="6">
        <v>-0.002143092647543643</v>
      </c>
      <c r="G54" s="6">
        <v>0.004884326030392794</v>
      </c>
      <c r="J54" s="6"/>
    </row>
    <row r="55">
      <c r="A55" s="5">
        <v>46105.64583333333</v>
      </c>
      <c r="B55" s="6">
        <v>1.8839487565935897E-4</v>
      </c>
      <c r="C55" s="6">
        <v>-0.03907571912013541</v>
      </c>
      <c r="D55" s="6">
        <v>-0.002844474190579649</v>
      </c>
      <c r="E55" s="6">
        <v>-0.057331480194579565</v>
      </c>
      <c r="F55" s="6">
        <v>-0.08541219230133823</v>
      </c>
      <c r="G55" s="6">
        <v>-0.026037768500291936</v>
      </c>
      <c r="J55" s="6"/>
    </row>
    <row r="56">
      <c r="A56" s="5">
        <v>46106.64583333333</v>
      </c>
      <c r="B56" s="6">
        <v>0.009794688265210016</v>
      </c>
      <c r="C56" s="6">
        <v>0.005337588730534248</v>
      </c>
      <c r="D56" s="6">
        <v>0.00629247420085588</v>
      </c>
      <c r="E56" s="6">
        <v>0.040361223737559904</v>
      </c>
      <c r="F56" s="6">
        <v>0.04308164739884379</v>
      </c>
      <c r="G56" s="6">
        <v>0.017756683464629885</v>
      </c>
      <c r="J56" s="6"/>
    </row>
    <row r="57">
      <c r="A57" s="5">
        <v>46108.64583333333</v>
      </c>
      <c r="B57" s="6">
        <v>0.00802089162469688</v>
      </c>
      <c r="C57" s="6">
        <v>0.004214559386973127</v>
      </c>
      <c r="D57" s="6">
        <v>-0.008921127230281822</v>
      </c>
      <c r="E57" s="6">
        <v>0.008148804251550068</v>
      </c>
      <c r="F57" s="6">
        <v>0.03290328166940881</v>
      </c>
      <c r="G57" s="6">
        <v>0.017198111066496713</v>
      </c>
      <c r="J57" s="6"/>
    </row>
    <row r="58">
      <c r="A58" s="5">
        <v>46111.64583333333</v>
      </c>
      <c r="B58" s="6">
        <v>0.043486306439674216</v>
      </c>
      <c r="C58" s="6">
        <v>-0.022019948765465758</v>
      </c>
      <c r="D58" s="6">
        <v>0.0052157819466644995</v>
      </c>
      <c r="E58" s="6">
        <v>-0.006501493586364537</v>
      </c>
      <c r="F58" s="6">
        <v>-0.01475396093553527</v>
      </c>
      <c r="G58" s="6">
        <v>-0.020889067189554966</v>
      </c>
      <c r="J58" s="6"/>
    </row>
    <row r="59">
      <c r="A59" s="5">
        <v>46113.64583333333</v>
      </c>
      <c r="B59" s="6">
        <v>0.009576165986877161</v>
      </c>
      <c r="C59" s="6">
        <v>-0.028256144457448618</v>
      </c>
      <c r="D59" s="6">
        <v>-0.012929952297263458</v>
      </c>
      <c r="E59" s="6">
        <v>-0.00601344181110719</v>
      </c>
      <c r="F59" s="6">
        <v>0.031140985280353917</v>
      </c>
      <c r="G59" s="6">
        <v>-0.02139388946344356</v>
      </c>
      <c r="J59" s="6"/>
    </row>
    <row r="60">
      <c r="A60" s="5">
        <v>46114.64583333333</v>
      </c>
      <c r="B60" s="6">
        <v>0.011944493237309173</v>
      </c>
      <c r="C60" s="6">
        <v>0.052649690295939466</v>
      </c>
      <c r="D60" s="6">
        <v>0.020899571834329445</v>
      </c>
      <c r="E60" s="6">
        <v>8.89679715302405E-4</v>
      </c>
      <c r="F60" s="6">
        <v>0.01798828286162224</v>
      </c>
      <c r="G60" s="6">
        <v>0.015583438566323604</v>
      </c>
      <c r="J60" s="6"/>
    </row>
    <row r="61">
      <c r="A61" s="5">
        <v>46118.64583333333</v>
      </c>
      <c r="B61" s="6">
        <v>-0.002950876583926454</v>
      </c>
      <c r="C61" s="6">
        <v>0.0044132069303692845</v>
      </c>
      <c r="D61" s="6">
        <v>0.01764803587741892</v>
      </c>
      <c r="E61" s="6">
        <v>-0.011022222222222267</v>
      </c>
      <c r="F61" s="6">
        <v>-0.022614898273486284</v>
      </c>
      <c r="G61" s="6">
        <v>0.0014859299628737777</v>
      </c>
      <c r="J61" s="6"/>
    </row>
    <row r="62">
      <c r="A62" s="5">
        <v>46119.64583333333</v>
      </c>
      <c r="B62" s="6">
        <v>-0.01862813370473526</v>
      </c>
      <c r="C62" s="6">
        <v>0.017656631407648504</v>
      </c>
      <c r="D62" s="6">
        <v>0.009466682988533925</v>
      </c>
      <c r="E62" s="6">
        <v>0.0019773503505302603</v>
      </c>
      <c r="F62" s="6">
        <v>0.018493945928014677</v>
      </c>
      <c r="G62" s="6">
        <v>0.01123360527625028</v>
      </c>
      <c r="J62" s="6"/>
    </row>
    <row r="63">
      <c r="A63" s="5">
        <v>46120.64583333333</v>
      </c>
      <c r="B63" s="6">
        <v>0.01703033528472586</v>
      </c>
      <c r="C63" s="6">
        <v>0.011753418085871825</v>
      </c>
      <c r="D63" s="6">
        <v>0.0266381017826105</v>
      </c>
      <c r="E63" s="6">
        <v>-0.004485109436670243</v>
      </c>
      <c r="F63" s="6">
        <v>-0.008386939174334307</v>
      </c>
      <c r="G63" s="6">
        <v>0.006765861569775655</v>
      </c>
      <c r="J63" s="6"/>
    </row>
    <row r="64">
      <c r="A64" s="5">
        <v>46121.64583333333</v>
      </c>
      <c r="B64" s="6">
        <v>-0.004011861154718188</v>
      </c>
      <c r="C64" s="6">
        <v>0.02931879247668734</v>
      </c>
      <c r="D64" s="6">
        <v>0.007638396724151342</v>
      </c>
      <c r="E64" s="6">
        <v>0.07442782483330346</v>
      </c>
      <c r="F64" s="6">
        <v>0.021432090655280067</v>
      </c>
      <c r="G64" s="6">
        <v>0.037783827380192925</v>
      </c>
      <c r="J64" s="6"/>
    </row>
    <row r="65">
      <c r="A65" s="5">
        <v>46122.64583333333</v>
      </c>
      <c r="B65" s="6">
        <v>0.010858143607705761</v>
      </c>
      <c r="C65" s="6">
        <v>0.03209213051823423</v>
      </c>
      <c r="D65" s="6">
        <v>0.011644263832447654</v>
      </c>
      <c r="E65" s="6">
        <v>-0.002515934250251539</v>
      </c>
      <c r="F65" s="6">
        <v>-0.00948629311037874</v>
      </c>
      <c r="G65" s="6">
        <v>-0.00926143928392098</v>
      </c>
      <c r="J65" s="6"/>
    </row>
    <row r="66">
      <c r="A66" s="5">
        <v>46125.64583333333</v>
      </c>
      <c r="B66" s="6">
        <v>-0.007276507276507305</v>
      </c>
      <c r="C66" s="6">
        <v>0.01966326960747833</v>
      </c>
      <c r="D66" s="6">
        <v>-0.02499034376207021</v>
      </c>
      <c r="E66" s="6">
        <v>0.006726080376660448</v>
      </c>
      <c r="F66" s="6">
        <v>0.0022725428130834224</v>
      </c>
      <c r="G66" s="6">
        <v>0.011587753574117565</v>
      </c>
      <c r="J66" s="6"/>
    </row>
    <row r="67">
      <c r="A67" s="5">
        <v>46127.64583333333</v>
      </c>
      <c r="B67" s="6">
        <v>0.003664921465968529</v>
      </c>
      <c r="C67" s="6">
        <v>-0.0029910996546861357</v>
      </c>
      <c r="D67" s="6">
        <v>-0.020480925405062855</v>
      </c>
      <c r="E67" s="6">
        <v>-0.021379655921162644</v>
      </c>
      <c r="F67" s="6">
        <v>0.002186411855211068</v>
      </c>
      <c r="G67" s="6">
        <v>-0.00864635393711577</v>
      </c>
      <c r="J67" s="6"/>
    </row>
    <row r="68">
      <c r="A68" s="5">
        <v>46128.64583333333</v>
      </c>
      <c r="B68" s="6">
        <v>1.7388280299091008E-4</v>
      </c>
      <c r="C68" s="6">
        <v>0.033976438449718316</v>
      </c>
      <c r="D68" s="6">
        <v>0.03328480142360268</v>
      </c>
      <c r="E68" s="6">
        <v>0.05973715651135003</v>
      </c>
      <c r="F68" s="6">
        <v>0.010504201680672232</v>
      </c>
      <c r="G68" s="6">
        <v>0.01630062094607765</v>
      </c>
      <c r="J68" s="6"/>
    </row>
    <row r="69">
      <c r="A69" s="5">
        <v>46129.64583333333</v>
      </c>
      <c r="B69" s="6">
        <v>-0.01686369958275391</v>
      </c>
      <c r="C69" s="6">
        <v>0.02929798075108514</v>
      </c>
      <c r="D69" s="6">
        <v>0.008610904536381137</v>
      </c>
      <c r="E69" s="6">
        <v>-0.008052826542116254</v>
      </c>
      <c r="F69" s="6">
        <v>0.004397889013273648</v>
      </c>
      <c r="G69" s="6">
        <v>-0.0014258417831481962</v>
      </c>
      <c r="J69" s="6"/>
    </row>
    <row r="70">
      <c r="A70" s="5">
        <v>46132.64583333333</v>
      </c>
      <c r="B70" s="6">
        <v>0.0045977011494253706</v>
      </c>
      <c r="C70" s="6">
        <v>0.005660723289178327</v>
      </c>
      <c r="D70" s="6">
        <v>0.001785090612751672</v>
      </c>
      <c r="E70" s="6">
        <v>0.013476213671050674</v>
      </c>
      <c r="F70" s="6">
        <v>-0.006448531167900673</v>
      </c>
      <c r="G70" s="6">
        <v>0.006480209118993274</v>
      </c>
      <c r="J70" s="6"/>
    </row>
    <row r="71">
      <c r="A71" s="5">
        <v>46133.64583333333</v>
      </c>
      <c r="B71" s="6">
        <v>-0.0024643548671008375</v>
      </c>
      <c r="C71" s="6">
        <v>-0.009935963173127393</v>
      </c>
      <c r="D71" s="6">
        <v>-7.360061979470034E-4</v>
      </c>
      <c r="E71" s="6">
        <v>0.012656199935918044</v>
      </c>
      <c r="F71" s="6">
        <v>0.0016025641025640969</v>
      </c>
      <c r="G71" s="6">
        <v>4.6399806188412995E-4</v>
      </c>
      <c r="J71" s="6"/>
    </row>
    <row r="72">
      <c r="A72" s="5">
        <v>46134.64583333333</v>
      </c>
      <c r="B72" s="6">
        <v>-8.823010411151966E-4</v>
      </c>
      <c r="C72" s="6">
        <v>0.0031994475773966524</v>
      </c>
      <c r="D72" s="6">
        <v>0.011978601333540118</v>
      </c>
      <c r="E72" s="6">
        <v>0.006328112640404893</v>
      </c>
      <c r="F72" s="6">
        <v>0.0017599999999999838</v>
      </c>
      <c r="G72" s="6">
        <v>0.008690798424779933</v>
      </c>
      <c r="J72" s="6"/>
    </row>
    <row r="73">
      <c r="A73" s="5">
        <v>46135.64583333333</v>
      </c>
      <c r="B73" s="6">
        <v>0.001942776404097346</v>
      </c>
      <c r="C73" s="6">
        <v>0.00968245227606479</v>
      </c>
      <c r="D73" s="6">
        <v>-0.02758092319479022</v>
      </c>
      <c r="E73" s="6">
        <v>-0.011476182990096007</v>
      </c>
      <c r="F73" s="6">
        <v>-0.0018367672895703846</v>
      </c>
      <c r="G73" s="6">
        <v>-0.008076788489864373</v>
      </c>
      <c r="J73" s="6"/>
    </row>
    <row r="74">
      <c r="A74" s="5">
        <v>46136.64583333333</v>
      </c>
      <c r="B74" s="6">
        <v>0.009166225982725207</v>
      </c>
      <c r="C74" s="6">
        <v>-0.010930327682588836</v>
      </c>
      <c r="D74" s="6">
        <v>-0.0065786882016938275</v>
      </c>
      <c r="E74" s="6">
        <v>-0.014631043256997378</v>
      </c>
      <c r="F74" s="6">
        <v>-0.007280582446595685</v>
      </c>
      <c r="G74" s="6">
        <v>-0.008411237955377904</v>
      </c>
      <c r="J74" s="6"/>
    </row>
    <row r="75">
      <c r="A75" s="5">
        <v>46139.64583333333</v>
      </c>
      <c r="B75" s="6">
        <v>-0.005065502183406068</v>
      </c>
      <c r="C75" s="6">
        <v>-0.019919586444572035</v>
      </c>
      <c r="D75" s="6">
        <v>-0.04952811483860742</v>
      </c>
      <c r="E75" s="6">
        <v>-0.0054874112330535185</v>
      </c>
      <c r="F75" s="6">
        <v>-0.001128304319793716</v>
      </c>
      <c r="G75" s="6">
        <v>-0.011380442269386726</v>
      </c>
      <c r="J75" s="6"/>
    </row>
    <row r="76">
      <c r="A76" s="5">
        <v>46140.64583333333</v>
      </c>
      <c r="B76" s="6">
        <v>0.003862359550561578</v>
      </c>
      <c r="C76" s="6">
        <v>0.01043180646068742</v>
      </c>
      <c r="D76" s="6">
        <v>0.021152321748925562</v>
      </c>
      <c r="E76" s="6">
        <v>0.014767932489451407</v>
      </c>
      <c r="F76" s="6">
        <v>0.0025012102630304067</v>
      </c>
      <c r="G76" s="6">
        <v>0.00814923455777583</v>
      </c>
      <c r="J76" s="6"/>
    </row>
    <row r="77">
      <c r="A77" s="5">
        <v>46141.64583333333</v>
      </c>
      <c r="B77" s="6">
        <v>0.05386498775795756</v>
      </c>
      <c r="C77" s="6">
        <v>0.007215275038860325</v>
      </c>
      <c r="D77" s="6">
        <v>-0.0011848341232227888</v>
      </c>
      <c r="E77" s="6">
        <v>-0.015672477210938673</v>
      </c>
      <c r="F77" s="6">
        <v>-0.012635814889335961</v>
      </c>
      <c r="G77" s="6">
        <v>-0.004026115794410701</v>
      </c>
      <c r="J77" s="6"/>
    </row>
    <row r="78">
      <c r="A78" s="5">
        <v>46142.64583333333</v>
      </c>
      <c r="B78" s="6">
        <v>3.318951211415122E-4</v>
      </c>
      <c r="C78" s="6">
        <v>0.0023494725203851985</v>
      </c>
      <c r="D78" s="6">
        <v>0.01227144434899996</v>
      </c>
      <c r="E78" s="6">
        <v>-0.012510154346060176</v>
      </c>
      <c r="F78" s="6">
        <v>-0.008966416693837687</v>
      </c>
      <c r="G78" s="6">
        <v>0.0075826085506986995</v>
      </c>
      <c r="J78" s="6"/>
    </row>
    <row r="79">
      <c r="A79" s="5">
        <v>46146.64583333333</v>
      </c>
      <c r="B79" s="6">
        <v>-0.006138022561380074</v>
      </c>
      <c r="C79" s="6">
        <v>-0.002941446824156646</v>
      </c>
      <c r="D79" s="6">
        <v>-3.2327150765742996E-4</v>
      </c>
      <c r="E79" s="6">
        <v>-0.011352418558736366</v>
      </c>
      <c r="F79" s="6">
        <v>0.015216318473433299</v>
      </c>
      <c r="G79" s="6">
        <v>-0.007449028338155417</v>
      </c>
      <c r="J79" s="6"/>
    </row>
    <row r="80">
      <c r="A80" s="5">
        <v>46147.64583333333</v>
      </c>
      <c r="B80" s="6">
        <v>-0.022199966616591627</v>
      </c>
      <c r="C80" s="6">
        <v>0.050866599059647744</v>
      </c>
      <c r="D80" s="6">
        <v>-0.017219774445207947</v>
      </c>
      <c r="E80" s="6">
        <v>0.004160426027625119</v>
      </c>
      <c r="F80" s="6">
        <v>-0.008506845985578937</v>
      </c>
      <c r="G80" s="6">
        <v>0.005073434579780045</v>
      </c>
      <c r="J80" s="6"/>
    </row>
    <row r="81">
      <c r="A81" s="5">
        <v>46148.64583333333</v>
      </c>
      <c r="B81" s="6">
        <v>-0.01007169682485487</v>
      </c>
      <c r="C81" s="6">
        <v>0.011163504770259847</v>
      </c>
      <c r="D81" s="6">
        <v>-0.0016452103812775176</v>
      </c>
      <c r="E81" s="6">
        <v>-0.010606562810739129</v>
      </c>
      <c r="F81" s="6">
        <v>-0.0017976793593724727</v>
      </c>
      <c r="G81" s="6">
        <v>-0.003586339570385566</v>
      </c>
      <c r="J81" s="6"/>
    </row>
    <row r="82">
      <c r="A82" s="5">
        <v>46149.64583333333</v>
      </c>
      <c r="B82" s="6">
        <v>-0.03155716502845307</v>
      </c>
      <c r="C82" s="6">
        <v>0.0035788651743884348</v>
      </c>
      <c r="D82" s="6">
        <v>0.0033370411568409697</v>
      </c>
      <c r="E82" s="6">
        <v>0.05209380234505856</v>
      </c>
      <c r="F82" s="6">
        <v>0.015225933202357655</v>
      </c>
      <c r="G82" s="6">
        <v>0.012405961852135494</v>
      </c>
      <c r="J82" s="6"/>
    </row>
    <row r="83">
      <c r="A83" s="5">
        <v>46150.64583333333</v>
      </c>
      <c r="B83" s="6">
        <v>0.011039886039885927</v>
      </c>
      <c r="C83" s="6">
        <v>0.033542976939203495</v>
      </c>
      <c r="D83" s="6">
        <v>-0.013960745668062713</v>
      </c>
      <c r="E83" s="6">
        <v>-0.02053813087088041</v>
      </c>
      <c r="F83" s="6">
        <v>0.0036284470246734646</v>
      </c>
      <c r="G83" s="6">
        <v>-1.7672963858783586E-4</v>
      </c>
      <c r="J83" s="6"/>
    </row>
    <row r="84">
      <c r="A84" s="5">
        <v>46153.64583333333</v>
      </c>
      <c r="B84" s="6">
        <v>-0.01655512504402956</v>
      </c>
      <c r="C84" s="6">
        <v>0.0012546789067564568</v>
      </c>
      <c r="D84" s="6">
        <v>-0.0029149662696760226</v>
      </c>
      <c r="E84" s="6">
        <v>-0.015767230169050794</v>
      </c>
      <c r="F84" s="6">
        <v>-0.0012854503093114866</v>
      </c>
      <c r="G84" s="6">
        <v>-0.006186630711585872</v>
      </c>
      <c r="J84" s="6"/>
    </row>
    <row r="85">
      <c r="A85" s="5">
        <v>46154.64583333333</v>
      </c>
      <c r="B85" s="6">
        <v>0.006446991404011504</v>
      </c>
      <c r="C85" s="6">
        <v>-0.0066414652993881385</v>
      </c>
      <c r="D85" s="6">
        <v>-6.264617440695508E-4</v>
      </c>
      <c r="E85" s="6">
        <v>-0.027415359207266787</v>
      </c>
      <c r="F85" s="6">
        <v>-0.008687957525540968</v>
      </c>
      <c r="G85" s="6">
        <v>-0.014903117328441629</v>
      </c>
      <c r="J85" s="6"/>
    </row>
    <row r="86">
      <c r="A86" s="5">
        <v>46155.64583333333</v>
      </c>
      <c r="B86" s="6">
        <v>0.04804270462633453</v>
      </c>
      <c r="C86" s="6">
        <v>-0.03864348337993817</v>
      </c>
      <c r="D86" s="6">
        <v>-0.03869781436750386</v>
      </c>
      <c r="E86" s="6">
        <v>-0.02241467142129383</v>
      </c>
      <c r="F86" s="6">
        <v>0.011198571776353194</v>
      </c>
      <c r="G86" s="6">
        <v>-0.018319732447088732</v>
      </c>
      <c r="J86" s="6"/>
    </row>
    <row r="87">
      <c r="A87" s="5">
        <v>46156.64583333333</v>
      </c>
      <c r="B87" s="6">
        <v>0.008998302207130715</v>
      </c>
      <c r="C87" s="6">
        <v>0.010060142154182605</v>
      </c>
      <c r="D87" s="6">
        <v>-0.01195496239620919</v>
      </c>
      <c r="E87" s="6">
        <v>0.0321347924266111</v>
      </c>
      <c r="F87" s="6">
        <v>0.05721852178797859</v>
      </c>
      <c r="G87" s="6">
        <v>0.0014136285771111368</v>
      </c>
      <c r="J87" s="6"/>
    </row>
    <row r="88">
      <c r="A88" s="5">
        <v>46157.64583333333</v>
      </c>
      <c r="B88" s="6">
        <v>0.012619888944977342</v>
      </c>
      <c r="C88" s="6">
        <v>-0.0022734654108477192</v>
      </c>
      <c r="D88" s="6">
        <v>-0.011791622668074653</v>
      </c>
      <c r="E88" s="6">
        <v>-0.007068327162571553</v>
      </c>
      <c r="F88" s="6">
        <v>3.0362835888864126E-4</v>
      </c>
      <c r="G88" s="6">
        <v>0.011831236171975679</v>
      </c>
      <c r="J88" s="6"/>
    </row>
    <row r="89">
      <c r="A89" s="5">
        <v>46160.64583333333</v>
      </c>
      <c r="B89" s="6">
        <v>-0.005151213027583812</v>
      </c>
      <c r="C89" s="6">
        <v>-0.04813368055555556</v>
      </c>
      <c r="D89" s="6">
        <v>0.00801424755120217</v>
      </c>
      <c r="E89" s="6">
        <v>-0.035762711864406826</v>
      </c>
      <c r="F89" s="6">
        <v>-0.017984519653968745</v>
      </c>
      <c r="G89" s="6">
        <v>-0.001946001620964366</v>
      </c>
      <c r="J89" s="6"/>
    </row>
    <row r="90">
      <c r="A90" s="5">
        <v>46161.64583333333</v>
      </c>
      <c r="B90" s="6">
        <v>-0.007182228161015658</v>
      </c>
      <c r="C90" s="6">
        <v>-0.013610870457343438</v>
      </c>
      <c r="D90" s="6">
        <v>0.008480565371024706</v>
      </c>
      <c r="E90" s="6">
        <v>-0.012831780629284473</v>
      </c>
      <c r="F90" s="6">
        <v>0.0022409396491769318</v>
      </c>
      <c r="G90" s="6">
        <v>2.7280225008996517E-4</v>
      </c>
      <c r="J90" s="6"/>
    </row>
    <row r="91">
      <c r="A91" s="5">
        <v>46162.64583333333</v>
      </c>
      <c r="B91" s="6">
        <v>-0.0023553162853297005</v>
      </c>
      <c r="C91" s="6">
        <v>0.0015485958627066143</v>
      </c>
      <c r="D91" s="6">
        <v>0.019227400140154227</v>
      </c>
      <c r="E91" s="6">
        <v>0.020121082621082476</v>
      </c>
      <c r="F91" s="6">
        <v>0.007247494217424766</v>
      </c>
      <c r="G91" s="6">
        <v>-0.0013509542303472566</v>
      </c>
      <c r="J91" s="6"/>
    </row>
    <row r="92">
      <c r="A92" s="5">
        <v>46163.64583333333</v>
      </c>
      <c r="B92" s="6">
        <v>0.006070826306914023</v>
      </c>
      <c r="C92" s="6">
        <v>-0.0015462014215821274</v>
      </c>
      <c r="D92" s="6">
        <v>1.2891581797092044E-4</v>
      </c>
      <c r="E92" s="6">
        <v>0.025484377727352125</v>
      </c>
      <c r="F92" s="6">
        <v>-0.003368034292712818</v>
      </c>
      <c r="G92" s="6">
        <v>0.0017359640951817301</v>
      </c>
      <c r="J92" s="6"/>
    </row>
    <row r="93">
      <c r="A93" s="5">
        <v>46164.64583333333</v>
      </c>
      <c r="B93" s="6">
        <v>-0.00821320817968485</v>
      </c>
      <c r="C93" s="6">
        <v>0.010146769906390851</v>
      </c>
      <c r="D93" s="6">
        <v>-8.593280055013697E-5</v>
      </c>
      <c r="E93" s="6">
        <v>0.009021276595744698</v>
      </c>
      <c r="F93" s="6">
        <v>0.004147465437788211</v>
      </c>
      <c r="G93" s="6">
        <v>-1.8174901728729154E-4</v>
      </c>
      <c r="J93" s="6"/>
    </row>
    <row r="94">
      <c r="A94" s="5">
        <v>46167.64583333333</v>
      </c>
      <c r="B94" s="6">
        <v>-0.01977353388541503</v>
      </c>
      <c r="C94" s="6">
        <v>-4.576240161083822E-4</v>
      </c>
      <c r="D94" s="6">
        <v>-0.004254039188724468</v>
      </c>
      <c r="E94" s="6">
        <v>-0.0026990553306340814</v>
      </c>
      <c r="F94" s="6">
        <v>-0.0018357044515833199</v>
      </c>
      <c r="G94" s="6">
        <v>0.0027309583296342144</v>
      </c>
      <c r="J94" s="6"/>
    </row>
    <row r="95">
      <c r="A95" s="5">
        <v>46168.64583333333</v>
      </c>
      <c r="B95" s="6">
        <v>-0.01741379310344826</v>
      </c>
      <c r="C95" s="6">
        <v>0.01316271403717617</v>
      </c>
      <c r="D95" s="6">
        <v>-0.003926983989988475</v>
      </c>
      <c r="E95" s="6">
        <v>0.042794316644113595</v>
      </c>
      <c r="F95" s="6">
        <v>7.662835249044875E-5</v>
      </c>
      <c r="G95" s="6">
        <v>0.013170709085006838</v>
      </c>
      <c r="J95" s="6"/>
    </row>
    <row r="96">
      <c r="A96" s="5">
        <v>46169.64583333333</v>
      </c>
      <c r="B96" s="6">
        <v>0.008948938410247465</v>
      </c>
      <c r="C96" s="6">
        <v>4.0669694299477754E-4</v>
      </c>
      <c r="D96" s="6">
        <v>-0.013863616670999002</v>
      </c>
      <c r="E96" s="6">
        <v>-0.011841038118410308</v>
      </c>
      <c r="F96" s="6">
        <v>-0.0071258907363418444</v>
      </c>
      <c r="G96" s="6">
        <v>-0.004910181135749814</v>
      </c>
      <c r="J96" s="6"/>
    </row>
    <row r="97">
      <c r="A97" s="5">
        <v>46171.64583333333</v>
      </c>
      <c r="B97" s="6">
        <v>-0.046782608695652095</v>
      </c>
      <c r="C97" s="6">
        <v>-0.003320008130632157</v>
      </c>
      <c r="D97" s="6">
        <v>0.0035146296459009907</v>
      </c>
      <c r="E97" s="6">
        <v>0.00837163493105697</v>
      </c>
      <c r="F97" s="6">
        <v>-0.004167309770026439</v>
      </c>
      <c r="G97" s="6">
        <v>-2.739015710658821E-4</v>
      </c>
      <c r="J97" s="6"/>
    </row>
    <row r="98">
      <c r="A98" s="5">
        <v>46174.64583333333</v>
      </c>
      <c r="B98" s="6">
        <v>-0.03156358328772135</v>
      </c>
      <c r="C98" s="6">
        <v>-0.024745071380013584</v>
      </c>
      <c r="D98" s="6">
        <v>-0.011076087908239107</v>
      </c>
      <c r="E98" s="6">
        <v>-0.029464431059742613</v>
      </c>
      <c r="F98" s="6">
        <v>-0.0030223186608802077</v>
      </c>
      <c r="G98" s="6">
        <v>-0.015033159535954743</v>
      </c>
      <c r="J98" s="6"/>
    </row>
    <row r="99">
      <c r="A99" s="5">
        <v>46175.64583333333</v>
      </c>
      <c r="B99" s="6">
        <v>-0.0041446872645062305</v>
      </c>
      <c r="C99" s="6">
        <v>-0.011547934383567937</v>
      </c>
      <c r="D99" s="6">
        <v>0.017043693833281637</v>
      </c>
      <c r="E99" s="6">
        <v>-0.004193223750419306</v>
      </c>
      <c r="F99" s="6">
        <v>-0.009016712009327743</v>
      </c>
      <c r="G99" s="6">
        <v>-0.007013408924419595</v>
      </c>
      <c r="J99" s="6"/>
    </row>
    <row r="100">
      <c r="A100" s="5">
        <v>46176.64583333333</v>
      </c>
      <c r="B100" s="6">
        <v>0.002837684449489286</v>
      </c>
      <c r="C100" s="6">
        <v>0.005735643261794321</v>
      </c>
      <c r="D100" s="6">
        <v>0.06507356141725418</v>
      </c>
      <c r="E100" s="6">
        <v>-0.008253326595924038</v>
      </c>
      <c r="F100" s="6">
        <v>0.009255627892383655</v>
      </c>
      <c r="G100" s="6">
        <v>0.004317312873675316</v>
      </c>
      <c r="J100" s="6"/>
    </row>
    <row r="101">
      <c r="A101" s="5">
        <v>46177.64583333333</v>
      </c>
      <c r="B101" s="6">
        <v>0.010186757215619568</v>
      </c>
      <c r="C101" s="6">
        <v>-0.003365665536987139</v>
      </c>
      <c r="D101" s="6">
        <v>-0.08386121214598075</v>
      </c>
      <c r="E101" s="6">
        <v>-0.007812499999999889</v>
      </c>
      <c r="F101" s="6">
        <v>-0.008004973964404916</v>
      </c>
      <c r="G101" s="6">
        <v>-0.0033193448179683616</v>
      </c>
      <c r="J101" s="6"/>
    </row>
    <row r="102">
      <c r="A102" s="5">
        <v>46178.64583333333</v>
      </c>
      <c r="B102" s="6">
        <v>-7.469654528478031E-4</v>
      </c>
      <c r="C102" s="6">
        <v>-0.017143125161229844</v>
      </c>
      <c r="D102" s="6">
        <v>-3.122630146762395E-4</v>
      </c>
      <c r="E102" s="6">
        <v>0.010441629578911149</v>
      </c>
      <c r="F102" s="6">
        <v>0.006737699780632989</v>
      </c>
      <c r="G102" s="6">
        <v>4.678367570154496E-4</v>
      </c>
      <c r="J102" s="6"/>
    </row>
    <row r="103">
      <c r="A103" s="5">
        <v>46181.64583333333</v>
      </c>
      <c r="B103" s="6">
        <v>-0.010465333582508007</v>
      </c>
      <c r="C103" s="6">
        <v>0.0061799093295156204</v>
      </c>
      <c r="D103" s="6">
        <v>-0.018786256135653656</v>
      </c>
      <c r="E103" s="6">
        <v>-5.082161612738334E-4</v>
      </c>
      <c r="F103" s="6">
        <v>-0.005603112840466884</v>
      </c>
      <c r="G103" s="6">
        <v>-0.0021288362290772245</v>
      </c>
      <c r="J103" s="6"/>
    </row>
    <row r="104">
      <c r="A104" s="5">
        <v>46182.64583333333</v>
      </c>
      <c r="B104" s="6">
        <v>-3.777148253070184E-4</v>
      </c>
      <c r="C104" s="6">
        <v>0.005003675685930409</v>
      </c>
      <c r="D104" s="6">
        <v>-0.021601709945882064</v>
      </c>
      <c r="E104" s="6">
        <v>-0.03338983050847466</v>
      </c>
      <c r="F104" s="6">
        <v>-0.02832994208796369</v>
      </c>
      <c r="G104" s="6">
        <v>-0.010429371712736502</v>
      </c>
      <c r="J104" s="6"/>
    </row>
    <row r="105">
      <c r="A105" s="5">
        <v>46183.64583333333</v>
      </c>
      <c r="B105" s="6">
        <v>-0.02134895144530502</v>
      </c>
      <c r="C105" s="6">
        <v>0.006087777253421578</v>
      </c>
      <c r="D105" s="6">
        <v>-1.8592544389706145E-4</v>
      </c>
      <c r="E105" s="6">
        <v>0.013852358407855592</v>
      </c>
      <c r="F105" s="6">
        <v>0.009906572164948502</v>
      </c>
      <c r="G105" s="6">
        <v>0.005150715737577194</v>
      </c>
      <c r="J105" s="6"/>
    </row>
    <row r="106">
      <c r="A106" s="5">
        <v>46184.64583333333</v>
      </c>
      <c r="B106" s="6">
        <v>-0.027413127413127403</v>
      </c>
      <c r="C106" s="6">
        <v>-0.01046015291524005</v>
      </c>
      <c r="D106" s="6">
        <v>0.001348210134821004</v>
      </c>
      <c r="E106" s="6">
        <v>-0.003804911795226684</v>
      </c>
      <c r="F106" s="6">
        <v>-0.03381449876385667</v>
      </c>
      <c r="G106" s="6">
        <v>-0.0011681388514805935</v>
      </c>
      <c r="J106" s="6"/>
    </row>
    <row r="107">
      <c r="A107" s="5">
        <v>46185.64583333333</v>
      </c>
      <c r="B107" s="6">
        <v>0.0027788805081381263</v>
      </c>
      <c r="C107" s="6">
        <v>-0.011115851346226724</v>
      </c>
      <c r="D107" s="6">
        <v>-0.008496216166024473</v>
      </c>
      <c r="E107" s="6">
        <v>-0.005729166666666563</v>
      </c>
      <c r="F107" s="6">
        <v>-0.01543541064795706</v>
      </c>
      <c r="G107" s="6">
        <v>-0.0022980880854794883</v>
      </c>
      <c r="J107" s="6"/>
    </row>
    <row r="108">
      <c r="A108" s="5">
        <v>46188.64583333333</v>
      </c>
      <c r="B108" s="6">
        <v>-0.025336500395882866</v>
      </c>
      <c r="C108" s="6">
        <v>0.0047935191620929185</v>
      </c>
      <c r="D108" s="6">
        <v>0.01208091402884448</v>
      </c>
      <c r="E108" s="6">
        <v>0.05587567661952164</v>
      </c>
      <c r="F108" s="6">
        <v>0.02213279678068414</v>
      </c>
      <c r="G108" s="6">
        <v>0.019916586073501108</v>
      </c>
      <c r="J108" s="6"/>
    </row>
    <row r="109">
      <c r="A109" s="5">
        <v>46189.64583333333</v>
      </c>
      <c r="B109" s="6">
        <v>-0.010357432981315973</v>
      </c>
      <c r="C109" s="6">
        <v>0.02204040741359159</v>
      </c>
      <c r="D109" s="6">
        <v>2.775978532432166E-4</v>
      </c>
      <c r="E109" s="6">
        <v>0.027286257648420742</v>
      </c>
      <c r="F109" s="6">
        <v>0.017962598425196763</v>
      </c>
      <c r="G109" s="6">
        <v>0.009778646990843631</v>
      </c>
      <c r="J109" s="6"/>
    </row>
    <row r="110">
      <c r="A110" s="5">
        <v>46190.64583333333</v>
      </c>
      <c r="B110" s="6">
        <v>0.01867432792940682</v>
      </c>
      <c r="C110" s="6">
        <v>-0.006744929633346497</v>
      </c>
      <c r="D110" s="6">
        <v>0.017113783533765137</v>
      </c>
      <c r="E110" s="6">
        <v>0.004829362524146896</v>
      </c>
      <c r="F110" s="6">
        <v>2.417210539038539E-4</v>
      </c>
      <c r="G110" s="6">
        <v>0.005669932380029996</v>
      </c>
      <c r="J110" s="6"/>
    </row>
    <row r="111">
      <c r="A111" s="5">
        <v>46191.64583333333</v>
      </c>
      <c r="B111" s="6">
        <v>-0.012892828364222342</v>
      </c>
      <c r="C111" s="6">
        <v>0.04809906480567694</v>
      </c>
      <c r="D111" s="6">
        <v>0.01091405184174632</v>
      </c>
      <c r="E111" s="6">
        <v>0.018743992310156887</v>
      </c>
      <c r="F111" s="6">
        <v>-0.003141614306428231</v>
      </c>
      <c r="G111" s="6">
        <v>0.004024736182815847</v>
      </c>
      <c r="J111" s="6"/>
    </row>
    <row r="112">
      <c r="A112" s="5">
        <v>46192.64583333333</v>
      </c>
      <c r="B112" s="6">
        <v>0.001224489795918382</v>
      </c>
      <c r="C112" s="6">
        <v>-0.010985315547584307</v>
      </c>
      <c r="D112" s="6">
        <v>-0.008861898335582485</v>
      </c>
      <c r="E112" s="6">
        <v>-0.005189495203648309</v>
      </c>
      <c r="F112" s="6">
        <v>-0.013171717171717168</v>
      </c>
      <c r="G112" s="6">
        <v>0.003416965253241422</v>
      </c>
      <c r="J112" s="6"/>
    </row>
    <row r="113">
      <c r="A113" s="5">
        <v>46195.64583333333</v>
      </c>
      <c r="B113" s="6">
        <v>0.0038728088055441923</v>
      </c>
      <c r="C113" s="6">
        <v>-7.707129094411957E-4</v>
      </c>
      <c r="D113" s="6">
        <v>-0.03553760268687889</v>
      </c>
      <c r="E113" s="6">
        <v>-0.030667088207398052</v>
      </c>
      <c r="F113" s="6">
        <v>-0.019079593842122433</v>
      </c>
      <c r="G113" s="6">
        <v>-0.006409301555776348</v>
      </c>
      <c r="J113" s="6"/>
    </row>
    <row r="114">
      <c r="A114" s="5">
        <v>46196.64583333333</v>
      </c>
      <c r="B114" s="6">
        <v>-0.0032487309644670948</v>
      </c>
      <c r="C114" s="6">
        <v>0.024296182028538338</v>
      </c>
      <c r="D114" s="6">
        <v>0.0013176470588236455</v>
      </c>
      <c r="E114" s="6">
        <v>0.0065231572080886036</v>
      </c>
      <c r="F114" s="6">
        <v>0.011102763168878926</v>
      </c>
      <c r="G114" s="6">
        <v>0.0037396254544395102</v>
      </c>
      <c r="J114" s="6"/>
    </row>
    <row r="115">
      <c r="A115" s="5">
        <v>46197.64583333333</v>
      </c>
      <c r="B115" s="6">
        <v>-0.004481564473416189</v>
      </c>
      <c r="C115" s="6">
        <v>-0.0033221119773210184</v>
      </c>
      <c r="D115" s="6">
        <v>-0.03205188457561814</v>
      </c>
      <c r="E115" s="6">
        <v>-1.6202203499682266E-4</v>
      </c>
      <c r="F115" s="6">
        <v>-0.01832892998678992</v>
      </c>
      <c r="G115" s="6">
        <v>-0.011567072841857318</v>
      </c>
      <c r="J115" s="6"/>
    </row>
    <row r="116">
      <c r="A116" s="5">
        <v>46198.64583333333</v>
      </c>
      <c r="B116" s="6">
        <v>-0.017802332719459746</v>
      </c>
      <c r="C116" s="6">
        <v>-0.029176481045286917</v>
      </c>
      <c r="D116" s="6">
        <v>0.023985239852398532</v>
      </c>
      <c r="E116" s="6">
        <v>0.02317290552584672</v>
      </c>
      <c r="F116" s="6">
        <v>-0.011269974768713276</v>
      </c>
      <c r="G116" s="6">
        <v>0.008292023623138078</v>
      </c>
      <c r="J116" s="6"/>
    </row>
    <row r="117">
      <c r="A117" s="5">
        <v>46202.64583333333</v>
      </c>
      <c r="B117" s="6">
        <v>-0.028750000000000053</v>
      </c>
      <c r="C117" s="6">
        <v>-4.5778113483940785E-5</v>
      </c>
      <c r="D117" s="6">
        <v>-0.006780464675201658</v>
      </c>
      <c r="E117" s="6">
        <v>-0.018847006651884657</v>
      </c>
      <c r="F117" s="6">
        <v>-0.02211636611092216</v>
      </c>
      <c r="G117" s="6">
        <v>0.0014299600568652426</v>
      </c>
      <c r="J117" s="6"/>
    </row>
    <row r="118">
      <c r="A118" s="5">
        <v>46203.64583333333</v>
      </c>
      <c r="B118" s="6">
        <v>0.004075504075504055</v>
      </c>
      <c r="C118" s="6">
        <v>-0.005928537093414454</v>
      </c>
      <c r="D118" s="6">
        <v>0.001527665059435801</v>
      </c>
      <c r="E118" s="6">
        <v>-0.02889426957223562</v>
      </c>
      <c r="F118" s="6">
        <v>0.012787056367432159</v>
      </c>
      <c r="G118" s="6">
        <v>-0.004562271366810755</v>
      </c>
      <c r="J118" s="6"/>
    </row>
    <row r="119">
      <c r="A119" s="5">
        <v>46204.64583333333</v>
      </c>
      <c r="B119" s="6">
        <v>0.0036317026276435627</v>
      </c>
      <c r="C119" s="6">
        <v>0.008842221608178935</v>
      </c>
      <c r="D119" s="6">
        <v>-0.031650698317365</v>
      </c>
      <c r="E119" s="6">
        <v>0.009142287234042534</v>
      </c>
      <c r="F119" s="6">
        <v>-0.003950871768444664</v>
      </c>
      <c r="G119" s="6">
        <v>-0.0033616954637991636</v>
      </c>
      <c r="J119" s="6"/>
    </row>
    <row r="120">
      <c r="A120" s="5">
        <v>46205.64583333333</v>
      </c>
      <c r="B120" s="6">
        <v>3.831417624520217E-4</v>
      </c>
      <c r="C120" s="6">
        <v>0.012142791929151686</v>
      </c>
      <c r="D120" s="6">
        <v>-0.024070883583559022</v>
      </c>
      <c r="E120" s="6">
        <v>0.0021413276231263545</v>
      </c>
      <c r="F120" s="6">
        <v>-0.00439768905751492</v>
      </c>
      <c r="G120" s="6">
        <v>0.005870337198705222</v>
      </c>
      <c r="J120" s="6"/>
    </row>
    <row r="121">
      <c r="A121" s="5">
        <v>46206.64583333333</v>
      </c>
      <c r="B121" s="6">
        <v>0.004127835227030863</v>
      </c>
      <c r="C121" s="6">
        <v>-9.020386072511322E-5</v>
      </c>
      <c r="D121" s="6">
        <v>0.0431251891455664</v>
      </c>
      <c r="E121" s="6">
        <v>0.020545693622616712</v>
      </c>
      <c r="F121" s="6">
        <v>0.01931404815520521</v>
      </c>
      <c r="G121" s="6">
        <v>0.007075358714646818</v>
      </c>
      <c r="J121" s="6"/>
    </row>
    <row r="122">
      <c r="A122" s="5">
        <v>46209.64583333333</v>
      </c>
      <c r="B122" s="6">
        <v>0.007967452110527296</v>
      </c>
      <c r="C122" s="6">
        <v>-0.0011502029769959732</v>
      </c>
      <c r="D122" s="6">
        <v>0.012281804554905573</v>
      </c>
      <c r="E122" s="6">
        <v>-0.0074086004187470245</v>
      </c>
      <c r="F122" s="6">
        <v>0.022261874415838268</v>
      </c>
      <c r="G122" s="6">
        <v>0.003935770215546919</v>
      </c>
      <c r="J122" s="6"/>
    </row>
    <row r="123">
      <c r="A123" s="5">
        <v>46210.64583333333</v>
      </c>
      <c r="B123" s="6">
        <v>0.025479313824419814</v>
      </c>
      <c r="C123" s="6">
        <v>0.0026417394838449404</v>
      </c>
      <c r="D123" s="6">
        <v>-0.017148316216861748</v>
      </c>
      <c r="E123" s="6">
        <v>0.0</v>
      </c>
      <c r="F123" s="6">
        <v>-0.006649488820546945</v>
      </c>
      <c r="G123" s="6">
        <v>0.006571669307008143</v>
      </c>
      <c r="J123" s="6"/>
    </row>
    <row r="124">
      <c r="A124" s="5">
        <v>46211.64583333333</v>
      </c>
      <c r="B124" s="6">
        <v>0.0011480114801147856</v>
      </c>
      <c r="C124" s="6">
        <v>-0.009075350177903951</v>
      </c>
      <c r="D124" s="6">
        <v>0.01871111975116646</v>
      </c>
      <c r="E124" s="6">
        <v>0.018822002271621008</v>
      </c>
      <c r="F124" s="6">
        <v>-0.007781775583633244</v>
      </c>
      <c r="G124" s="6">
        <v>-0.0012955197121612416</v>
      </c>
      <c r="J124" s="6"/>
    </row>
    <row r="125">
      <c r="A125" s="5">
        <v>46212.64583333333</v>
      </c>
      <c r="B125" s="6">
        <v>0.011548857400278445</v>
      </c>
      <c r="C125" s="6">
        <v>-0.008090357475626697</v>
      </c>
      <c r="D125" s="6">
        <v>-0.018415151948857345</v>
      </c>
      <c r="E125" s="6">
        <v>-0.03312629399585909</v>
      </c>
      <c r="F125" s="6">
        <v>-0.01366166301231242</v>
      </c>
      <c r="G125" s="6">
        <v>-0.02117530852053595</v>
      </c>
      <c r="J125" s="6"/>
    </row>
    <row r="126">
      <c r="A126" s="5">
        <v>46213.64583333333</v>
      </c>
      <c r="B126" s="6">
        <v>-0.01356275303643717</v>
      </c>
      <c r="C126" s="6">
        <v>0.0032533736568378657</v>
      </c>
      <c r="D126" s="6">
        <v>-0.003888213851761857</v>
      </c>
      <c r="E126" s="6">
        <v>0.015318728380826707</v>
      </c>
      <c r="F126" s="6">
        <v>0.01248290013679898</v>
      </c>
      <c r="G126" s="6">
        <v>0.0033812005250806187</v>
      </c>
      <c r="J126" s="6"/>
    </row>
    <row r="127">
      <c r="A127" s="5">
        <v>46216.64583333333</v>
      </c>
      <c r="B127" s="6">
        <v>0.005376564744510537</v>
      </c>
      <c r="C127" s="6">
        <v>0.02920824864692051</v>
      </c>
      <c r="D127" s="6">
        <v>0.009514515735545181</v>
      </c>
      <c r="E127" s="6">
        <v>0.005029201817001949</v>
      </c>
      <c r="F127" s="6">
        <v>-0.002364465461915266</v>
      </c>
      <c r="G127" s="6">
        <v>0.010186622598360895</v>
      </c>
      <c r="J127" s="6"/>
    </row>
    <row r="128">
      <c r="A128" s="5">
        <v>46217.64583333333</v>
      </c>
      <c r="B128" s="6">
        <v>0.01424722403657741</v>
      </c>
      <c r="C128" s="6">
        <v>9.98491168900273E-4</v>
      </c>
      <c r="D128" s="6">
        <v>0.054374093765103826</v>
      </c>
      <c r="E128" s="6">
        <v>-0.007102502017756196</v>
      </c>
      <c r="F128" s="6">
        <v>-0.010072794988996048</v>
      </c>
      <c r="G128" s="6">
        <v>1.6937319524590322E-4</v>
      </c>
      <c r="J128" s="6"/>
    </row>
    <row r="129">
      <c r="A129" s="5">
        <v>46218.64583333333</v>
      </c>
      <c r="B129" s="6">
        <v>0.0018112296236667547</v>
      </c>
      <c r="C129" s="6">
        <v>-0.015272759514995848</v>
      </c>
      <c r="D129" s="6">
        <v>0.008755443502177274</v>
      </c>
      <c r="E129" s="6">
        <v>-0.007153308405137393</v>
      </c>
      <c r="F129" s="6">
        <v>-0.008294142796066661</v>
      </c>
      <c r="G129" s="6">
        <v>-0.00656519763743757</v>
      </c>
      <c r="J129" s="6"/>
    </row>
    <row r="130">
      <c r="A130" s="5">
        <v>46219.64583333333</v>
      </c>
      <c r="B130" s="6">
        <v>-0.006910405785455986</v>
      </c>
      <c r="C130" s="6">
        <v>-0.004929767693138798</v>
      </c>
      <c r="D130" s="6">
        <v>-0.005180405343997108</v>
      </c>
      <c r="E130" s="6">
        <v>0.013918454232847655</v>
      </c>
      <c r="F130" s="6">
        <v>0.0035350922572856547</v>
      </c>
      <c r="G130" s="6">
        <v>0.0010996983625095602</v>
      </c>
      <c r="J130" s="6"/>
    </row>
    <row r="131">
      <c r="A131" s="5">
        <v>46220.64583333333</v>
      </c>
      <c r="B131" s="6">
        <v>-0.00173962294684038</v>
      </c>
      <c r="C131" s="6">
        <v>0.0030087094220110355</v>
      </c>
      <c r="D131" s="6">
        <v>0.005390096839028136</v>
      </c>
      <c r="E131" s="6">
        <v>0.007751937984496138</v>
      </c>
      <c r="F131" s="6">
        <v>6.873442735630952E-4</v>
      </c>
      <c r="G131" s="6">
        <v>-2.3880225097083763E-4</v>
      </c>
      <c r="J131" s="6"/>
    </row>
    <row r="132">
      <c r="A132" s="5">
        <v>46223.64583333333</v>
      </c>
      <c r="B132" s="6">
        <v>0.002188449848024243</v>
      </c>
      <c r="C132" s="6">
        <v>0.01508863728630061</v>
      </c>
      <c r="D132" s="6">
        <v>0.030895047705588263</v>
      </c>
      <c r="E132" s="6">
        <v>0.011378205128205199</v>
      </c>
      <c r="F132" s="6">
        <v>-0.005838413325319758</v>
      </c>
      <c r="G132" s="6">
        <v>0.010864982189404904</v>
      </c>
      <c r="J132" s="6"/>
    </row>
    <row r="133">
      <c r="A133" s="5">
        <v>46224.64583333333</v>
      </c>
      <c r="B133" s="6">
        <v>0.009260382546807389</v>
      </c>
      <c r="C133" s="6">
        <v>-0.002155220299064564</v>
      </c>
      <c r="D133" s="6">
        <v>-0.007888937858087308</v>
      </c>
      <c r="E133" s="6">
        <v>0.006496593249881277</v>
      </c>
      <c r="F133" s="6">
        <v>0.009068140599360897</v>
      </c>
      <c r="G133" s="6">
        <v>-0.003936829906757144</v>
      </c>
      <c r="J133" s="6"/>
    </row>
    <row r="134">
      <c r="A134" s="5">
        <v>46225.64583333333</v>
      </c>
      <c r="B134" s="6">
        <v>0.0012420867056655016</v>
      </c>
      <c r="C134" s="6">
        <v>0.020195947450456497</v>
      </c>
      <c r="D134" s="6">
        <v>-0.013326818000088836</v>
      </c>
      <c r="E134" s="6">
        <v>0.0055100755667505386</v>
      </c>
      <c r="F134" s="6">
        <v>0.007617254364943538</v>
      </c>
      <c r="G134" s="6">
        <v>-0.0020958392639808254</v>
      </c>
      <c r="J134" s="6"/>
    </row>
    <row r="135">
      <c r="A135" s="5">
        <v>46226.64583333333</v>
      </c>
      <c r="B135" s="6">
        <v>0.008043539157229329</v>
      </c>
      <c r="C135" s="6">
        <v>-0.001505991225964065</v>
      </c>
      <c r="D135" s="6">
        <v>-0.005762910269686117</v>
      </c>
      <c r="E135" s="6">
        <v>-0.016752779082511382</v>
      </c>
      <c r="F135" s="6">
        <v>0.011976556527647952</v>
      </c>
      <c r="G135" s="6">
        <v>-0.007915180029519187</v>
      </c>
      <c r="J135" s="6"/>
    </row>
    <row r="136">
      <c r="A136" s="5">
        <v>46227.64583333333</v>
      </c>
      <c r="B136" s="6">
        <v>0.0018658197697498657</v>
      </c>
      <c r="C136" s="6">
        <v>0.0038690215965724306</v>
      </c>
      <c r="D136" s="6">
        <v>0.015668161028845606</v>
      </c>
      <c r="E136" s="6">
        <v>-0.01321656050955411</v>
      </c>
      <c r="F136" s="6">
        <v>-0.0037770689944602864</v>
      </c>
      <c r="G136" s="6">
        <v>-0.005277908006459442</v>
      </c>
      <c r="J136" s="6"/>
    </row>
    <row r="137">
      <c r="A137" s="5">
        <v>46230.64583333333</v>
      </c>
      <c r="B137" s="6">
        <v>-0.014304394341641324</v>
      </c>
      <c r="C137" s="6">
        <v>-0.004158954817637506</v>
      </c>
      <c r="D137" s="6">
        <v>0.005082705426010969</v>
      </c>
      <c r="E137" s="6">
        <v>9.682104243986522E-4</v>
      </c>
      <c r="F137" s="6">
        <v>-0.006571741511500528</v>
      </c>
      <c r="G137" s="6">
        <v>-0.004279501960652743</v>
      </c>
      <c r="J137" s="6"/>
    </row>
    <row r="138">
      <c r="A138" s="5">
        <v>46231.64583333333</v>
      </c>
      <c r="B138" s="6">
        <v>-0.04100337674867338</v>
      </c>
      <c r="C138" s="6">
        <v>0.009970700135566668</v>
      </c>
      <c r="D138" s="6">
        <v>0.018320542962338537</v>
      </c>
      <c r="E138" s="6">
        <v>0.019667902627760858</v>
      </c>
      <c r="F138" s="6">
        <v>0.006021541853956425</v>
      </c>
      <c r="G138" s="6">
        <v>0.009613988879749513</v>
      </c>
      <c r="J138" s="6"/>
    </row>
    <row r="139">
      <c r="A139" s="5">
        <v>46232.64583333333</v>
      </c>
      <c r="B139" s="6">
        <v>0.001467136150234749</v>
      </c>
      <c r="C139" s="6">
        <v>-0.004091794760770706</v>
      </c>
      <c r="D139" s="6">
        <v>0.044607074403206104</v>
      </c>
      <c r="E139" s="6">
        <v>0.012015810276679861</v>
      </c>
      <c r="F139" s="6">
        <v>-0.015090204012814135</v>
      </c>
      <c r="G139" s="6">
        <v>-4.41741210496005E-4</v>
      </c>
      <c r="J139" s="6"/>
    </row>
    <row r="140">
      <c r="A140" s="5">
        <v>46233.64583333333</v>
      </c>
      <c r="B140" s="6">
        <v>-0.0025114059687748602</v>
      </c>
      <c r="C140" s="6">
        <v>-0.0017608312862764652</v>
      </c>
      <c r="D140" s="6">
        <v>0.020266889074228578</v>
      </c>
      <c r="E140" s="6">
        <v>-0.008279956256834975</v>
      </c>
      <c r="F140" s="6">
        <v>1.7118890695888567E-4</v>
      </c>
      <c r="G140" s="6">
        <v>0.011042156983325224</v>
      </c>
      <c r="J140" s="6"/>
    </row>
    <row r="141">
      <c r="A141" s="5">
        <v>46234.64583333333</v>
      </c>
      <c r="B141" s="6">
        <v>0.01376358524610799</v>
      </c>
      <c r="C141" s="6">
        <v>-0.0023083623693380684</v>
      </c>
      <c r="D141" s="6">
        <v>-0.006049211150167433</v>
      </c>
      <c r="E141" s="6">
        <v>-0.005040957781978439</v>
      </c>
      <c r="F141" s="6">
        <v>0.004450149764655631</v>
      </c>
      <c r="G141" s="6">
        <v>0.0027608019727671795</v>
      </c>
      <c r="J141" s="6"/>
    </row>
    <row r="142">
      <c r="A142" s="5">
        <v>46237.64583333333</v>
      </c>
      <c r="B142" s="6">
        <v>0.0038908895235729712</v>
      </c>
      <c r="C142" s="6">
        <v>0.014209630244030214</v>
      </c>
      <c r="D142" s="6">
        <v>-0.02722263344025011</v>
      </c>
      <c r="E142" s="6">
        <v>0.01250791640278659</v>
      </c>
      <c r="F142" s="6">
        <v>-0.0022152168356479596</v>
      </c>
      <c r="G142" s="6">
        <v>0.002732639310116358</v>
      </c>
      <c r="J142" s="6"/>
    </row>
    <row r="143">
      <c r="A143" s="5">
        <v>46238.64583333333</v>
      </c>
      <c r="B143" s="6">
        <v>-0.002185296664330205</v>
      </c>
      <c r="C143" s="6">
        <v>0.009361885290003258</v>
      </c>
      <c r="D143" s="6">
        <v>0.04569665201217443</v>
      </c>
      <c r="E143" s="6">
        <v>0.0318999218139171</v>
      </c>
      <c r="F143" s="6">
        <v>0.001280847066860158</v>
      </c>
      <c r="G143" s="6">
        <v>0.016023064682819665</v>
      </c>
      <c r="J143" s="6"/>
    </row>
    <row r="144">
      <c r="A144" s="5">
        <v>46239.64583333333</v>
      </c>
      <c r="B144" s="6">
        <v>0.0</v>
      </c>
      <c r="C144" s="6">
        <v>-0.011727078891258014</v>
      </c>
      <c r="D144" s="6">
        <v>-0.00553826252172851</v>
      </c>
      <c r="E144" s="6">
        <v>-0.018033035308380074</v>
      </c>
      <c r="F144" s="6">
        <v>-9.380863039399889E-4</v>
      </c>
      <c r="G144" s="6">
        <v>-0.006434086936865979</v>
      </c>
      <c r="J144" s="6"/>
    </row>
    <row r="145">
      <c r="A145" s="5">
        <v>46240.64583333333</v>
      </c>
      <c r="B145" s="6">
        <v>-0.007438016528925617</v>
      </c>
      <c r="C145" s="6">
        <v>0.0021574973031284195</v>
      </c>
      <c r="D145" s="6">
        <v>-0.019105691056910623</v>
      </c>
      <c r="E145" s="6">
        <v>0.00694444444444442</v>
      </c>
      <c r="F145" s="6">
        <v>0.01912078531796846</v>
      </c>
      <c r="G145" s="6">
        <v>3.9610154824920585E-4</v>
      </c>
      <c r="J145" s="6"/>
    </row>
    <row r="146">
      <c r="A146" s="5">
        <v>46241.64583333333</v>
      </c>
      <c r="B146" s="6">
        <v>-0.009991673605328821</v>
      </c>
      <c r="C146" s="6">
        <v>0.05920344456404747</v>
      </c>
      <c r="D146" s="6">
        <v>-0.016576875259013635</v>
      </c>
      <c r="E146" s="6">
        <v>-0.007816091954022997</v>
      </c>
      <c r="F146" s="6">
        <v>0.025881564620152453</v>
      </c>
      <c r="G146" s="6">
        <v>4.609202567344983E-4</v>
      </c>
      <c r="J146" s="6"/>
    </row>
    <row r="147">
      <c r="A147" s="5">
        <v>46244.64583333333</v>
      </c>
      <c r="B147" s="6">
        <v>0.0044154751892346855</v>
      </c>
      <c r="C147" s="6">
        <v>-0.002032520325203291</v>
      </c>
      <c r="D147" s="6">
        <v>0.03358617783396545</v>
      </c>
      <c r="E147" s="6">
        <v>-0.008341056533827551</v>
      </c>
      <c r="F147" s="6">
        <v>0.007511430437622479</v>
      </c>
      <c r="G147" s="6">
        <v>-0.002652622178925146</v>
      </c>
      <c r="J147" s="6"/>
    </row>
    <row r="148">
      <c r="A148" s="5">
        <v>46245.64583333333</v>
      </c>
      <c r="B148" s="6">
        <v>0.004144860791291727</v>
      </c>
      <c r="C148" s="6">
        <v>0.0036659877800406804</v>
      </c>
      <c r="D148" s="6">
        <v>-0.011008276593142297</v>
      </c>
      <c r="E148" s="6">
        <v>-0.007788161993769416</v>
      </c>
      <c r="F148" s="6">
        <v>0.009562398703403474</v>
      </c>
      <c r="G148" s="6">
        <v>5.351913767033256E-4</v>
      </c>
      <c r="J148" s="6"/>
    </row>
    <row r="149">
      <c r="A149" s="5">
        <v>46246.64583333333</v>
      </c>
      <c r="B149" s="6">
        <v>-0.001626084056037369</v>
      </c>
      <c r="C149" s="6">
        <v>-0.0038555194805194315</v>
      </c>
      <c r="D149" s="6">
        <v>0.008245042668095781</v>
      </c>
      <c r="E149" s="6">
        <v>-0.00219780219780219</v>
      </c>
      <c r="F149" s="6">
        <v>0.007545352384010329</v>
      </c>
      <c r="G149" s="6">
        <v>-0.004559913438931251</v>
      </c>
      <c r="J149" s="6"/>
    </row>
    <row r="150">
      <c r="A150" s="5">
        <v>46247.64583333333</v>
      </c>
      <c r="B150" s="6">
        <v>-0.0016704948841093081</v>
      </c>
      <c r="C150" s="6">
        <v>0.01751884294153605</v>
      </c>
      <c r="D150" s="6">
        <v>-0.039252565727603606</v>
      </c>
      <c r="E150" s="6">
        <v>-0.0025173064820642743</v>
      </c>
      <c r="F150" s="6">
        <v>0.007409177820267843</v>
      </c>
      <c r="G150" s="6">
        <v>-0.0014608711286915321</v>
      </c>
      <c r="J150" s="6"/>
    </row>
    <row r="151">
      <c r="A151" s="5">
        <v>46248.64583333333</v>
      </c>
      <c r="B151" s="6">
        <v>0.0035557414766784756</v>
      </c>
      <c r="C151" s="6">
        <v>-0.010010010010010006</v>
      </c>
      <c r="D151" s="6">
        <v>0.010767331999829821</v>
      </c>
      <c r="E151" s="6">
        <v>-0.006309148264984188</v>
      </c>
      <c r="F151" s="6">
        <v>-0.007671016211941439</v>
      </c>
      <c r="G151" s="6">
        <v>-0.0016410248015731321</v>
      </c>
      <c r="J151" s="6"/>
    </row>
    <row r="152">
      <c r="A152" s="5">
        <v>46251.64583333333</v>
      </c>
      <c r="B152" s="6">
        <v>-0.014589412255106349</v>
      </c>
      <c r="C152" s="6">
        <v>0.01716885743174923</v>
      </c>
      <c r="D152" s="6">
        <v>-0.005894736842105286</v>
      </c>
      <c r="E152" s="6">
        <v>0.014126984126983988</v>
      </c>
      <c r="F152" s="6">
        <v>-0.0027892891297418565</v>
      </c>
      <c r="G152" s="6">
        <v>-0.0012235687627197844</v>
      </c>
      <c r="J152" s="6"/>
    </row>
    <row r="153">
      <c r="A153" s="5">
        <v>46252.64583333333</v>
      </c>
      <c r="B153" s="6">
        <v>0.008840947546531419</v>
      </c>
      <c r="C153" s="6">
        <v>0.0057854032883357664</v>
      </c>
      <c r="D153" s="6">
        <v>-0.020245658619229223</v>
      </c>
      <c r="E153" s="6">
        <v>-0.008765064955392088</v>
      </c>
      <c r="F153" s="6">
        <v>0.010309278350515427</v>
      </c>
      <c r="G153" s="6">
        <v>-0.0032155462529753764</v>
      </c>
      <c r="J153" s="6"/>
    </row>
    <row r="154">
      <c r="A154" s="5">
        <v>46253.64583333333</v>
      </c>
      <c r="B154" s="6">
        <v>0.004234978405803114</v>
      </c>
      <c r="C154" s="6">
        <v>0.007906700929037447</v>
      </c>
      <c r="D154" s="6">
        <v>-0.014352412242780499</v>
      </c>
      <c r="E154" s="6">
        <v>-0.02005368703615973</v>
      </c>
      <c r="F154" s="6">
        <v>7.91014080050445E-5</v>
      </c>
      <c r="G154" s="6">
        <v>-0.005465740818893505</v>
      </c>
      <c r="J154" s="6"/>
    </row>
    <row r="155">
      <c r="A155" s="5">
        <v>46254.64583333333</v>
      </c>
      <c r="B155" s="6">
        <v>-0.006263048016701411</v>
      </c>
      <c r="C155" s="6">
        <v>-0.016081584624436207</v>
      </c>
      <c r="D155" s="6">
        <v>0.003947368421052699</v>
      </c>
      <c r="E155" s="6">
        <v>-0.010634869481147335</v>
      </c>
      <c r="F155" s="6">
        <v>-0.005536660602705079</v>
      </c>
      <c r="G155" s="6">
        <v>-0.0031711992183781623</v>
      </c>
      <c r="J155" s="6"/>
    </row>
    <row r="156">
      <c r="A156" s="5">
        <v>46255.64583333333</v>
      </c>
      <c r="B156" s="6">
        <v>0.0021008403361344463</v>
      </c>
      <c r="C156" s="6">
        <v>-0.003787123779150914</v>
      </c>
      <c r="D156" s="6">
        <v>0.003931847968545288</v>
      </c>
      <c r="E156" s="6">
        <v>0.005537459283387669</v>
      </c>
      <c r="F156" s="6">
        <v>0.02505368647100914</v>
      </c>
      <c r="G156" s="6">
        <v>0.006377111340916786</v>
      </c>
      <c r="J156" s="6"/>
    </row>
    <row r="157">
      <c r="A157" s="5">
        <v>46258.64583333333</v>
      </c>
      <c r="B157" s="6">
        <v>-0.008805031446540879</v>
      </c>
      <c r="C157" s="6">
        <v>4.001600640255454E-4</v>
      </c>
      <c r="D157" s="6">
        <v>0.0017406440382941035</v>
      </c>
      <c r="E157" s="6">
        <v>0.007450599287333937</v>
      </c>
      <c r="F157" s="6">
        <v>0.018932340161390337</v>
      </c>
      <c r="G157" s="6">
        <v>8.315502118081408E-4</v>
      </c>
      <c r="J157" s="6"/>
    </row>
    <row r="158">
      <c r="A158" s="5">
        <v>46259.64583333333</v>
      </c>
      <c r="B158" s="6">
        <v>6.345177664974777E-4</v>
      </c>
      <c r="C158" s="6">
        <v>-0.01880000000000004</v>
      </c>
      <c r="D158" s="6">
        <v>-0.00777584708948742</v>
      </c>
      <c r="E158" s="6">
        <v>0.002893890675241151</v>
      </c>
      <c r="F158" s="6">
        <v>0.012945476698142055</v>
      </c>
      <c r="G158" s="6">
        <v>-0.0013586508329209712</v>
      </c>
      <c r="J158" s="6"/>
    </row>
    <row r="159">
      <c r="A159" s="5">
        <v>46260.64583333333</v>
      </c>
      <c r="B159" s="6">
        <v>-0.010779961953075512</v>
      </c>
      <c r="C159" s="6">
        <v>-0.0012229922543823823</v>
      </c>
      <c r="D159" s="6">
        <v>0.00529749135326818</v>
      </c>
      <c r="E159" s="6">
        <v>0.019878166078871606</v>
      </c>
      <c r="F159" s="6">
        <v>-0.0018042399639153217</v>
      </c>
      <c r="G159" s="6">
        <v>0.004768973184332115</v>
      </c>
      <c r="J159" s="6"/>
    </row>
    <row r="160">
      <c r="A160" s="5">
        <v>46261.64583333333</v>
      </c>
      <c r="B160" s="6">
        <v>-0.007649572649572667</v>
      </c>
      <c r="C160" s="6">
        <v>-0.007040816326530641</v>
      </c>
      <c r="D160" s="6">
        <v>-0.011410155909763908</v>
      </c>
      <c r="E160" s="6">
        <v>-3.143665513990479E-4</v>
      </c>
      <c r="F160" s="6">
        <v>-0.0030878144298840393</v>
      </c>
      <c r="G160" s="6">
        <v>-0.00521069836919108</v>
      </c>
      <c r="J160" s="6"/>
    </row>
    <row r="161">
      <c r="A161" s="5">
        <v>46262.64583333333</v>
      </c>
      <c r="B161" s="6">
        <v>-9.043538176650712E-4</v>
      </c>
      <c r="C161" s="6">
        <v>0.006885212208406211</v>
      </c>
      <c r="D161" s="6">
        <v>-0.00951541850220261</v>
      </c>
      <c r="E161" s="6">
        <v>0.0</v>
      </c>
      <c r="F161" s="6">
        <v>-0.01752662990103493</v>
      </c>
      <c r="G161" s="6">
        <v>-0.004829032024868174</v>
      </c>
      <c r="J161" s="6"/>
    </row>
    <row r="162">
      <c r="A162" s="5">
        <v>46265.64583333333</v>
      </c>
      <c r="B162" s="6">
        <v>0.0010775862068965747</v>
      </c>
      <c r="C162" s="6">
        <v>-0.007736272708716019</v>
      </c>
      <c r="D162" s="6">
        <v>0.0416296032734389</v>
      </c>
      <c r="E162" s="6">
        <v>0.0039308176100629755</v>
      </c>
      <c r="F162" s="6">
        <v>0.006151480199922954</v>
      </c>
      <c r="G162" s="6">
        <v>0.0035200086339834957</v>
      </c>
      <c r="J162" s="6"/>
    </row>
    <row r="163">
      <c r="A163" s="5">
        <v>46266.64583333333</v>
      </c>
      <c r="B163" s="6">
        <v>-0.0019375672766415164</v>
      </c>
      <c r="C163" s="6">
        <v>-0.012240027977206802</v>
      </c>
      <c r="D163" s="6">
        <v>0.02446626814688302</v>
      </c>
      <c r="E163" s="6">
        <v>0.015035238841033749</v>
      </c>
      <c r="F163" s="6">
        <v>-0.02697745510126104</v>
      </c>
      <c r="G163" s="6">
        <v>-0.003939914748931295</v>
      </c>
      <c r="J163" s="6"/>
    </row>
    <row r="164">
      <c r="A164" s="5">
        <v>46267.64583333333</v>
      </c>
      <c r="B164" s="6">
        <v>0.020060396893873955</v>
      </c>
      <c r="C164" s="6">
        <v>0.0012495834721759635</v>
      </c>
      <c r="D164" s="6">
        <v>-0.012628683365981774</v>
      </c>
      <c r="E164" s="6">
        <v>-0.01975003857429425</v>
      </c>
      <c r="F164" s="6">
        <v>-0.015551366635249697</v>
      </c>
      <c r="G164" s="6">
        <v>-0.0010215777146559413</v>
      </c>
      <c r="J164" s="6"/>
    </row>
    <row r="165">
      <c r="A165" s="5">
        <v>46268.64583333333</v>
      </c>
      <c r="B165" s="6">
        <v>0.004440685134277977</v>
      </c>
      <c r="C165" s="6">
        <v>-0.005740910225476403</v>
      </c>
      <c r="D165" s="6">
        <v>-0.008864499788940439</v>
      </c>
      <c r="E165" s="6">
        <v>0.0061388320478514835</v>
      </c>
      <c r="F165" s="6">
        <v>-0.014520504228498488</v>
      </c>
      <c r="G165" s="6">
        <v>-0.005875921815113094</v>
      </c>
      <c r="J165" s="6"/>
    </row>
    <row r="166">
      <c r="A166" s="5">
        <v>46269.64583333333</v>
      </c>
      <c r="B166" s="6">
        <v>-0.0063157894736841635</v>
      </c>
      <c r="C166" s="6">
        <v>-0.003012552301255189</v>
      </c>
      <c r="D166" s="6">
        <v>-0.0118824531516184</v>
      </c>
      <c r="E166" s="6">
        <v>0.0014080100125155592</v>
      </c>
      <c r="F166" s="6">
        <v>0.021939766839378372</v>
      </c>
      <c r="G166" s="6">
        <v>-0.0017144446140304748</v>
      </c>
      <c r="J166" s="6"/>
    </row>
    <row r="167">
      <c r="A167" s="5">
        <v>46272.64583333333</v>
      </c>
      <c r="B167" s="6">
        <v>-0.005720338983050799</v>
      </c>
      <c r="C167" s="6">
        <v>0.018969279838845</v>
      </c>
      <c r="D167" s="6">
        <v>-0.006939356062238611</v>
      </c>
      <c r="E167" s="6">
        <v>-0.013591626308389393</v>
      </c>
      <c r="F167" s="6">
        <v>0.007446724233541868</v>
      </c>
      <c r="G167" s="6">
        <v>0.0010157727517388082</v>
      </c>
      <c r="J167" s="6"/>
    </row>
    <row r="168">
      <c r="A168" s="5">
        <v>46273.64583333333</v>
      </c>
      <c r="B168" s="6">
        <v>-0.004048582995951455</v>
      </c>
      <c r="C168" s="6">
        <v>-1.6474464579907533E-4</v>
      </c>
      <c r="D168" s="6">
        <v>-0.01475694444444442</v>
      </c>
      <c r="E168" s="6">
        <v>-0.008869179600886956</v>
      </c>
      <c r="F168" s="6">
        <v>-0.012502948808681302</v>
      </c>
      <c r="G168" s="6">
        <v>-0.0049607284383015315</v>
      </c>
      <c r="J168" s="6"/>
    </row>
    <row r="169">
      <c r="A169" s="5">
        <v>46274.64583333333</v>
      </c>
      <c r="B169" s="6">
        <v>0.009841677364142098</v>
      </c>
      <c r="C169" s="6">
        <v>0.036229197561377546</v>
      </c>
      <c r="D169" s="6">
        <v>-0.006387665198237857</v>
      </c>
      <c r="E169" s="6">
        <v>-0.028922978587408</v>
      </c>
      <c r="F169" s="6">
        <v>0.0020703933747412417</v>
      </c>
      <c r="G169" s="6">
        <v>-0.0060578279711429595</v>
      </c>
      <c r="J169" s="6"/>
    </row>
    <row r="170">
      <c r="A170" s="5">
        <v>46275.64583333333</v>
      </c>
      <c r="B170" s="6">
        <v>-0.008389830508474527</v>
      </c>
      <c r="C170" s="6">
        <v>-0.006082168909383734</v>
      </c>
      <c r="D170" s="6">
        <v>-0.02105963201064065</v>
      </c>
      <c r="E170" s="6">
        <v>-9.87329274312998E-4</v>
      </c>
      <c r="F170" s="6">
        <v>-4.7679593134142273E-4</v>
      </c>
      <c r="G170" s="6">
        <v>-0.008614306687934392</v>
      </c>
      <c r="J170" s="6"/>
    </row>
    <row r="171">
      <c r="A171" s="5">
        <v>46276.64583333333</v>
      </c>
      <c r="B171" s="6">
        <v>0.013887701905820116</v>
      </c>
      <c r="C171" s="6">
        <v>-0.010098990100989913</v>
      </c>
      <c r="D171" s="6">
        <v>-0.0017663043478260976</v>
      </c>
      <c r="E171" s="6">
        <v>-0.0018118926041839067</v>
      </c>
      <c r="F171" s="6">
        <v>0.0033391636190174268</v>
      </c>
      <c r="G171" s="6">
        <v>0.0019759725156305308</v>
      </c>
      <c r="J171" s="6"/>
    </row>
    <row r="172">
      <c r="A172" s="5">
        <v>46280.64583333333</v>
      </c>
      <c r="B172" s="6">
        <v>-0.02010367935263624</v>
      </c>
      <c r="C172" s="6">
        <v>-0.009090909090909038</v>
      </c>
      <c r="D172" s="6">
        <v>-0.0014972097454741817</v>
      </c>
      <c r="E172" s="6">
        <v>0.004950495049504955</v>
      </c>
      <c r="F172" s="6">
        <v>-0.008557844690966654</v>
      </c>
      <c r="G172" s="6">
        <v>-0.0033946962662601</v>
      </c>
      <c r="J172" s="6"/>
    </row>
    <row r="173">
      <c r="A173" s="5">
        <v>46281.64583333333</v>
      </c>
      <c r="B173" s="6">
        <v>0.014838709677419404</v>
      </c>
      <c r="C173" s="6">
        <v>-0.042813455657492394</v>
      </c>
      <c r="D173" s="6">
        <v>0.022809887313703925</v>
      </c>
      <c r="E173" s="6">
        <v>-0.019211822660098576</v>
      </c>
      <c r="F173" s="6">
        <v>-0.011988491048593342</v>
      </c>
      <c r="G173" s="6">
        <v>-0.011945414371252405</v>
      </c>
      <c r="J173" s="6"/>
    </row>
    <row r="174">
      <c r="A174" s="5">
        <v>46282.64583333333</v>
      </c>
      <c r="B174" s="6">
        <v>0.0036024581479128237</v>
      </c>
      <c r="C174" s="6">
        <v>1.2779552715658227E-4</v>
      </c>
      <c r="D174" s="6">
        <v>-0.027632163482896432</v>
      </c>
      <c r="E174" s="6">
        <v>0.01573748535074526</v>
      </c>
      <c r="F174" s="6">
        <v>0.010435204659440256</v>
      </c>
      <c r="G174" s="6">
        <v>0.004282266227193743</v>
      </c>
      <c r="J174" s="6"/>
    </row>
    <row r="175">
      <c r="A175" s="5">
        <v>46283.64583333333</v>
      </c>
      <c r="B175" s="6">
        <v>-0.018454391891891908</v>
      </c>
      <c r="C175" s="6">
        <v>0.019677996422182487</v>
      </c>
      <c r="D175" s="6">
        <v>5.482456140351033E-4</v>
      </c>
      <c r="E175" s="6">
        <v>0.012032305917257125</v>
      </c>
      <c r="F175" s="6">
        <v>-0.0038427667920901687</v>
      </c>
      <c r="G175" s="6">
        <v>0.0022827510164702414</v>
      </c>
      <c r="J175" s="6"/>
    </row>
    <row r="176">
      <c r="A176" s="5">
        <v>46286.64583333333</v>
      </c>
      <c r="B176" s="6">
        <v>0.0015918771242955376</v>
      </c>
      <c r="C176" s="6">
        <v>0.002568922305764554</v>
      </c>
      <c r="D176" s="6">
        <v>-0.038812785388127824</v>
      </c>
      <c r="E176" s="6">
        <v>0.0228013029315961</v>
      </c>
      <c r="F176" s="6">
        <v>0.01647512657719208</v>
      </c>
      <c r="G176" s="6">
        <v>0.0032573289902282365</v>
      </c>
      <c r="J176" s="6"/>
    </row>
    <row r="177">
      <c r="A177" s="5">
        <v>46287.64583333333</v>
      </c>
      <c r="B177" s="6">
        <v>0.012156357388316108</v>
      </c>
      <c r="C177" s="6">
        <v>0.005353832052163332</v>
      </c>
      <c r="D177" s="6">
        <v>0.01125890736342039</v>
      </c>
      <c r="E177" s="6">
        <v>-0.00398089171974525</v>
      </c>
      <c r="F177" s="6">
        <v>-0.007194813409234779</v>
      </c>
      <c r="G177" s="6">
        <v>0.0029083713120652277</v>
      </c>
      <c r="J177" s="6"/>
    </row>
    <row r="178">
      <c r="A178" s="5">
        <v>46288.64583333333</v>
      </c>
      <c r="B178" s="6">
        <v>0.00212197088655941</v>
      </c>
      <c r="C178" s="6">
        <v>-0.00538748445917947</v>
      </c>
      <c r="D178" s="6">
        <v>-0.011133555691266839</v>
      </c>
      <c r="E178" s="6">
        <v>0.002717825739408486</v>
      </c>
      <c r="F178" s="6">
        <v>-0.00453930078840481</v>
      </c>
      <c r="G178" s="6">
        <v>-0.003643072823018345</v>
      </c>
      <c r="J178" s="6"/>
    </row>
    <row r="179">
      <c r="A179" s="5">
        <v>46289.64583333333</v>
      </c>
      <c r="B179" s="6">
        <v>0.0032609155973404302</v>
      </c>
      <c r="C179" s="6">
        <v>0.007500000000000062</v>
      </c>
      <c r="D179" s="6">
        <v>-0.007315914489311237</v>
      </c>
      <c r="E179" s="6">
        <v>0.006855867346938771</v>
      </c>
      <c r="F179" s="6">
        <v>-0.0021599999999999397</v>
      </c>
      <c r="G179" s="6">
        <v>0.005049509194564594</v>
      </c>
      <c r="J179" s="6"/>
    </row>
    <row r="180">
      <c r="A180" s="5">
        <v>46290.64583333333</v>
      </c>
      <c r="B180" s="6">
        <v>0.008864499788940439</v>
      </c>
      <c r="C180" s="6">
        <v>-0.01277915632754345</v>
      </c>
      <c r="D180" s="6">
        <v>-0.0012442572741193647</v>
      </c>
      <c r="E180" s="6">
        <v>-0.02739509105304827</v>
      </c>
      <c r="F180" s="6">
        <v>-0.010422512627274894</v>
      </c>
      <c r="G180" s="6">
        <v>-0.016364706484466973</v>
      </c>
      <c r="J180" s="6"/>
    </row>
    <row r="181">
      <c r="A181" s="5">
        <v>46293.64583333333</v>
      </c>
      <c r="B181" s="6">
        <v>-0.013138075313807507</v>
      </c>
      <c r="C181" s="6">
        <v>0.0054040467512881385</v>
      </c>
      <c r="D181" s="6">
        <v>-0.002395783421178743</v>
      </c>
      <c r="E181" s="6">
        <v>0.004558775643112911</v>
      </c>
      <c r="F181" s="6">
        <v>0.008101758081503707</v>
      </c>
      <c r="G181" s="6">
        <v>0.0033560102501399847</v>
      </c>
      <c r="J181" s="6"/>
    </row>
    <row r="182">
      <c r="A182" s="5">
        <v>46294.64583333333</v>
      </c>
      <c r="B182" s="6">
        <v>-0.024845247180530827</v>
      </c>
      <c r="C182" s="6">
        <v>-0.012916666666666687</v>
      </c>
      <c r="D182" s="6">
        <v>-0.005427473583093256</v>
      </c>
      <c r="E182" s="6">
        <v>-0.02025931928687197</v>
      </c>
      <c r="F182" s="6">
        <v>-0.026199469581290713</v>
      </c>
      <c r="G182" s="6">
        <v>-0.015567943648581495</v>
      </c>
      <c r="J182" s="6"/>
    </row>
    <row r="183">
      <c r="A183" s="5">
        <v>46295.64583333333</v>
      </c>
      <c r="B183" s="6">
        <v>0.0</v>
      </c>
      <c r="C183" s="6">
        <v>-0.03982693119459679</v>
      </c>
      <c r="D183" s="6">
        <v>-0.0184961607185975</v>
      </c>
      <c r="E183" s="6">
        <v>-0.009594706368899808</v>
      </c>
      <c r="F183" s="6">
        <v>-0.004374019971940313</v>
      </c>
      <c r="G183" s="6">
        <v>-0.0028116460530502874</v>
      </c>
      <c r="J183" s="6"/>
    </row>
    <row r="184">
      <c r="A184" s="5">
        <v>46296.64583333333</v>
      </c>
      <c r="B184" s="6">
        <v>-0.01826086956521733</v>
      </c>
      <c r="C184" s="6">
        <v>0.026091926230409124</v>
      </c>
      <c r="D184" s="6">
        <v>0.008954930131863659</v>
      </c>
      <c r="E184" s="6">
        <v>0.01286119926507423</v>
      </c>
      <c r="F184" s="6">
        <v>0.007874668435013277</v>
      </c>
      <c r="G184" s="6">
        <v>-0.004215053574101346</v>
      </c>
      <c r="J184" s="6"/>
    </row>
    <row r="185">
      <c r="A185" s="5">
        <v>46300.64583333333</v>
      </c>
      <c r="B185" s="6">
        <v>-0.015190434012400389</v>
      </c>
      <c r="C185" s="6">
        <v>-0.014353041988003468</v>
      </c>
      <c r="D185" s="6">
        <v>0.01189895640300409</v>
      </c>
      <c r="E185" s="6">
        <v>-0.00857519788918193</v>
      </c>
      <c r="F185" s="6">
        <v>-0.0013158976889546814</v>
      </c>
      <c r="G185" s="6">
        <v>-0.008775245408468857</v>
      </c>
      <c r="J185" s="6"/>
    </row>
    <row r="186">
      <c r="A186" s="5">
        <v>46301.64583333333</v>
      </c>
      <c r="B186" s="6">
        <v>0.01137743400638569</v>
      </c>
      <c r="C186" s="6">
        <v>0.01717018039556617</v>
      </c>
      <c r="D186" s="6">
        <v>0.018987951807228898</v>
      </c>
      <c r="E186" s="6">
        <v>-0.012142381902861099</v>
      </c>
      <c r="F186" s="6">
        <v>0.0012352795849459586</v>
      </c>
      <c r="G186" s="6">
        <v>0.005967366799051854</v>
      </c>
      <c r="J186" s="6"/>
    </row>
    <row r="187">
      <c r="A187" s="4"/>
      <c r="B187" s="6">
        <v>-0.003112494441974256</v>
      </c>
      <c r="C187" s="6">
        <v>0.029059829059828957</v>
      </c>
      <c r="D187" s="6">
        <v>-0.006810442678774176</v>
      </c>
      <c r="E187" s="6">
        <v>0.011954874558006479</v>
      </c>
      <c r="F187" s="6">
        <v>-9.870044415200008E-4</v>
      </c>
      <c r="G187" s="6">
        <v>0.00976912760604276</v>
      </c>
      <c r="J187" s="6"/>
    </row>
    <row r="188">
      <c r="A188" s="4"/>
      <c r="B188" s="6" t="s">
        <v>19</v>
      </c>
      <c r="C188" s="6" t="s">
        <v>19</v>
      </c>
      <c r="D188" s="6" t="s">
        <v>19</v>
      </c>
      <c r="E188" s="6" t="s">
        <v>19</v>
      </c>
      <c r="F188" s="6" t="s">
        <v>19</v>
      </c>
      <c r="G188" s="6" t="s">
        <v>19</v>
      </c>
      <c r="J188" s="6"/>
    </row>
    <row r="189">
      <c r="A189" s="4"/>
      <c r="B189" s="6" t="s">
        <v>19</v>
      </c>
      <c r="C189" s="6" t="s">
        <v>19</v>
      </c>
      <c r="D189" s="6" t="s">
        <v>19</v>
      </c>
      <c r="E189" s="6" t="s">
        <v>19</v>
      </c>
      <c r="F189" s="6" t="s">
        <v>19</v>
      </c>
      <c r="G189" s="6" t="s">
        <v>19</v>
      </c>
      <c r="J189" s="6"/>
    </row>
    <row r="190">
      <c r="A190" s="4"/>
      <c r="B190" s="6" t="s">
        <v>19</v>
      </c>
      <c r="C190" s="6" t="s">
        <v>19</v>
      </c>
      <c r="D190" s="6" t="s">
        <v>19</v>
      </c>
      <c r="E190" s="6" t="s">
        <v>19</v>
      </c>
      <c r="F190" s="6" t="s">
        <v>19</v>
      </c>
      <c r="G190" s="6" t="s">
        <v>19</v>
      </c>
      <c r="J190" s="6"/>
    </row>
    <row r="191">
      <c r="A191" s="4"/>
      <c r="B191" s="6" t="s">
        <v>19</v>
      </c>
      <c r="C191" s="6" t="s">
        <v>19</v>
      </c>
      <c r="D191" s="6" t="s">
        <v>19</v>
      </c>
      <c r="E191" s="6" t="s">
        <v>19</v>
      </c>
      <c r="F191" s="6" t="s">
        <v>19</v>
      </c>
      <c r="G191" s="6" t="s">
        <v>19</v>
      </c>
      <c r="J191" s="6"/>
    </row>
    <row r="192">
      <c r="A192" s="4"/>
      <c r="B192" s="6" t="s">
        <v>19</v>
      </c>
      <c r="C192" s="6" t="s">
        <v>19</v>
      </c>
      <c r="D192" s="6" t="s">
        <v>19</v>
      </c>
      <c r="E192" s="6" t="s">
        <v>19</v>
      </c>
      <c r="F192" s="6" t="s">
        <v>19</v>
      </c>
      <c r="G192" s="6" t="s">
        <v>19</v>
      </c>
      <c r="J192" s="6"/>
    </row>
    <row r="193">
      <c r="A193" s="4"/>
      <c r="B193" s="6" t="s">
        <v>19</v>
      </c>
      <c r="C193" s="6" t="s">
        <v>19</v>
      </c>
      <c r="D193" s="6" t="s">
        <v>19</v>
      </c>
      <c r="E193" s="6" t="s">
        <v>19</v>
      </c>
      <c r="F193" s="6" t="s">
        <v>19</v>
      </c>
      <c r="G193" s="6" t="s">
        <v>19</v>
      </c>
      <c r="J193" s="6"/>
    </row>
    <row r="194">
      <c r="A194" s="4"/>
      <c r="B194" s="6" t="s">
        <v>19</v>
      </c>
      <c r="C194" s="6" t="s">
        <v>19</v>
      </c>
      <c r="D194" s="6" t="s">
        <v>19</v>
      </c>
      <c r="E194" s="6" t="s">
        <v>19</v>
      </c>
      <c r="F194" s="6" t="s">
        <v>19</v>
      </c>
      <c r="G194" s="6" t="s">
        <v>19</v>
      </c>
      <c r="J194" s="6"/>
    </row>
    <row r="195">
      <c r="A195" s="4"/>
      <c r="B195" s="6" t="s">
        <v>19</v>
      </c>
      <c r="C195" s="6" t="s">
        <v>19</v>
      </c>
      <c r="D195" s="6" t="s">
        <v>19</v>
      </c>
      <c r="E195" s="6" t="s">
        <v>19</v>
      </c>
      <c r="F195" s="6" t="s">
        <v>19</v>
      </c>
      <c r="G195" s="6" t="s">
        <v>19</v>
      </c>
      <c r="J195" s="6"/>
    </row>
    <row r="196">
      <c r="A196" s="4"/>
      <c r="B196" s="6" t="s">
        <v>19</v>
      </c>
      <c r="C196" s="6" t="s">
        <v>19</v>
      </c>
      <c r="D196" s="6" t="s">
        <v>19</v>
      </c>
      <c r="E196" s="6" t="s">
        <v>19</v>
      </c>
      <c r="F196" s="6" t="s">
        <v>19</v>
      </c>
      <c r="G196" s="6" t="s">
        <v>19</v>
      </c>
      <c r="J196" s="6"/>
    </row>
    <row r="197">
      <c r="A197" s="4"/>
      <c r="B197" s="6" t="s">
        <v>19</v>
      </c>
      <c r="C197" s="6" t="s">
        <v>19</v>
      </c>
      <c r="D197" s="6" t="s">
        <v>19</v>
      </c>
      <c r="E197" s="6" t="s">
        <v>19</v>
      </c>
      <c r="F197" s="6" t="s">
        <v>19</v>
      </c>
      <c r="G197" s="6" t="s">
        <v>19</v>
      </c>
      <c r="J197" s="6"/>
    </row>
    <row r="198">
      <c r="A198" s="4"/>
      <c r="B198" s="6" t="s">
        <v>19</v>
      </c>
      <c r="C198" s="6" t="s">
        <v>19</v>
      </c>
      <c r="D198" s="6" t="s">
        <v>19</v>
      </c>
      <c r="E198" s="6" t="s">
        <v>19</v>
      </c>
      <c r="F198" s="6" t="s">
        <v>19</v>
      </c>
      <c r="G198" s="6" t="s">
        <v>19</v>
      </c>
      <c r="J198" s="6"/>
    </row>
    <row r="199">
      <c r="A199" s="4"/>
      <c r="B199" s="6" t="s">
        <v>19</v>
      </c>
      <c r="C199" s="6" t="s">
        <v>19</v>
      </c>
      <c r="D199" s="6" t="s">
        <v>19</v>
      </c>
      <c r="E199" s="6" t="s">
        <v>19</v>
      </c>
      <c r="F199" s="6" t="s">
        <v>19</v>
      </c>
      <c r="G199" s="6" t="s">
        <v>19</v>
      </c>
      <c r="J199" s="6"/>
    </row>
    <row r="200">
      <c r="A200" s="4"/>
      <c r="B200" s="6" t="s">
        <v>19</v>
      </c>
      <c r="C200" s="6" t="s">
        <v>19</v>
      </c>
      <c r="D200" s="6" t="s">
        <v>19</v>
      </c>
      <c r="E200" s="6" t="s">
        <v>19</v>
      </c>
      <c r="F200" s="6" t="s">
        <v>19</v>
      </c>
      <c r="G200" s="6" t="s">
        <v>19</v>
      </c>
      <c r="J200" s="6"/>
    </row>
    <row r="201">
      <c r="A201" s="4"/>
      <c r="B201" s="6" t="s">
        <v>19</v>
      </c>
      <c r="C201" s="6" t="s">
        <v>19</v>
      </c>
      <c r="D201" s="6" t="s">
        <v>19</v>
      </c>
      <c r="E201" s="6" t="s">
        <v>19</v>
      </c>
      <c r="F201" s="6" t="s">
        <v>19</v>
      </c>
      <c r="G201" s="6" t="s">
        <v>19</v>
      </c>
      <c r="J201" s="6"/>
    </row>
    <row r="202">
      <c r="A202" s="4"/>
      <c r="B202" s="6" t="s">
        <v>19</v>
      </c>
      <c r="C202" s="6" t="s">
        <v>19</v>
      </c>
      <c r="D202" s="6" t="s">
        <v>19</v>
      </c>
      <c r="E202" s="6" t="s">
        <v>19</v>
      </c>
      <c r="F202" s="6" t="s">
        <v>19</v>
      </c>
      <c r="G202" s="6" t="s">
        <v>19</v>
      </c>
      <c r="J202" s="6"/>
    </row>
    <row r="203">
      <c r="A203" s="4"/>
      <c r="B203" s="6" t="s">
        <v>19</v>
      </c>
      <c r="C203" s="6" t="s">
        <v>19</v>
      </c>
      <c r="D203" s="6" t="s">
        <v>19</v>
      </c>
      <c r="E203" s="6" t="s">
        <v>19</v>
      </c>
      <c r="F203" s="6" t="s">
        <v>19</v>
      </c>
      <c r="G203" s="6" t="s">
        <v>19</v>
      </c>
      <c r="J203" s="6"/>
    </row>
    <row r="204">
      <c r="A204" s="4"/>
      <c r="B204" s="6" t="s">
        <v>19</v>
      </c>
      <c r="C204" s="6" t="s">
        <v>19</v>
      </c>
      <c r="D204" s="6" t="s">
        <v>19</v>
      </c>
      <c r="E204" s="6" t="s">
        <v>19</v>
      </c>
      <c r="F204" s="6" t="s">
        <v>19</v>
      </c>
      <c r="G204" s="6" t="s">
        <v>19</v>
      </c>
      <c r="J204" s="6"/>
    </row>
    <row r="205">
      <c r="A205" s="4"/>
      <c r="B205" s="6" t="s">
        <v>19</v>
      </c>
      <c r="C205" s="6" t="s">
        <v>19</v>
      </c>
      <c r="D205" s="6" t="s">
        <v>19</v>
      </c>
      <c r="E205" s="6" t="s">
        <v>19</v>
      </c>
      <c r="F205" s="6" t="s">
        <v>19</v>
      </c>
      <c r="G205" s="6" t="s">
        <v>19</v>
      </c>
      <c r="J205" s="6"/>
    </row>
    <row r="206">
      <c r="A206" s="4"/>
      <c r="B206" s="6" t="s">
        <v>19</v>
      </c>
      <c r="C206" s="6" t="s">
        <v>19</v>
      </c>
      <c r="D206" s="6" t="s">
        <v>19</v>
      </c>
      <c r="E206" s="6" t="s">
        <v>19</v>
      </c>
      <c r="F206" s="6" t="s">
        <v>19</v>
      </c>
      <c r="G206" s="6" t="s">
        <v>19</v>
      </c>
      <c r="J206" s="6"/>
    </row>
    <row r="207">
      <c r="A207" s="4"/>
      <c r="B207" s="6" t="s">
        <v>19</v>
      </c>
      <c r="C207" s="6" t="s">
        <v>19</v>
      </c>
      <c r="D207" s="6" t="s">
        <v>19</v>
      </c>
      <c r="E207" s="6" t="s">
        <v>19</v>
      </c>
      <c r="F207" s="6" t="s">
        <v>19</v>
      </c>
      <c r="G207" s="6" t="s">
        <v>19</v>
      </c>
      <c r="J207" s="6"/>
    </row>
    <row r="208">
      <c r="A208" s="4"/>
      <c r="B208" s="6" t="s">
        <v>19</v>
      </c>
      <c r="C208" s="6" t="s">
        <v>19</v>
      </c>
      <c r="D208" s="6" t="s">
        <v>19</v>
      </c>
      <c r="E208" s="6" t="s">
        <v>19</v>
      </c>
      <c r="F208" s="6" t="s">
        <v>19</v>
      </c>
      <c r="G208" s="6" t="s">
        <v>19</v>
      </c>
      <c r="J208" s="6"/>
    </row>
    <row r="209">
      <c r="A209" s="4"/>
      <c r="B209" s="6" t="s">
        <v>19</v>
      </c>
      <c r="C209" s="6" t="s">
        <v>19</v>
      </c>
      <c r="D209" s="6" t="s">
        <v>19</v>
      </c>
      <c r="E209" s="6" t="s">
        <v>19</v>
      </c>
      <c r="F209" s="6" t="s">
        <v>19</v>
      </c>
      <c r="G209" s="6" t="s">
        <v>19</v>
      </c>
      <c r="J209" s="6"/>
    </row>
    <row r="210">
      <c r="A210" s="4"/>
      <c r="B210" s="6" t="s">
        <v>19</v>
      </c>
      <c r="C210" s="6" t="s">
        <v>19</v>
      </c>
      <c r="D210" s="6" t="s">
        <v>19</v>
      </c>
      <c r="E210" s="6" t="s">
        <v>19</v>
      </c>
      <c r="F210" s="6" t="s">
        <v>19</v>
      </c>
      <c r="G210" s="6" t="s">
        <v>19</v>
      </c>
      <c r="J210" s="6"/>
    </row>
    <row r="211">
      <c r="A211" s="4"/>
      <c r="B211" s="6" t="s">
        <v>19</v>
      </c>
      <c r="C211" s="6" t="s">
        <v>19</v>
      </c>
      <c r="D211" s="6" t="s">
        <v>19</v>
      </c>
      <c r="E211" s="6" t="s">
        <v>19</v>
      </c>
      <c r="F211" s="6" t="s">
        <v>19</v>
      </c>
      <c r="G211" s="6" t="s">
        <v>19</v>
      </c>
      <c r="J211" s="6"/>
    </row>
    <row r="212">
      <c r="A212" s="4"/>
      <c r="B212" s="6" t="s">
        <v>19</v>
      </c>
      <c r="C212" s="6" t="s">
        <v>19</v>
      </c>
      <c r="D212" s="6" t="s">
        <v>19</v>
      </c>
      <c r="E212" s="6" t="s">
        <v>19</v>
      </c>
      <c r="F212" s="6" t="s">
        <v>19</v>
      </c>
      <c r="G212" s="6" t="s">
        <v>19</v>
      </c>
      <c r="J212" s="6"/>
    </row>
    <row r="213">
      <c r="A213" s="4"/>
      <c r="B213" s="6" t="s">
        <v>19</v>
      </c>
      <c r="C213" s="6" t="s">
        <v>19</v>
      </c>
      <c r="D213" s="6" t="s">
        <v>19</v>
      </c>
      <c r="E213" s="6" t="s">
        <v>19</v>
      </c>
      <c r="F213" s="6" t="s">
        <v>19</v>
      </c>
      <c r="G213" s="6" t="s">
        <v>19</v>
      </c>
      <c r="J213" s="6"/>
    </row>
    <row r="214">
      <c r="A214" s="4"/>
      <c r="B214" s="6" t="s">
        <v>19</v>
      </c>
      <c r="C214" s="6" t="s">
        <v>19</v>
      </c>
      <c r="D214" s="6" t="s">
        <v>19</v>
      </c>
      <c r="E214" s="6" t="s">
        <v>19</v>
      </c>
      <c r="F214" s="6" t="s">
        <v>19</v>
      </c>
      <c r="G214" s="6" t="s">
        <v>19</v>
      </c>
      <c r="J214" s="6"/>
    </row>
    <row r="215">
      <c r="A215" s="4"/>
      <c r="B215" s="6" t="s">
        <v>19</v>
      </c>
      <c r="C215" s="6" t="s">
        <v>19</v>
      </c>
      <c r="D215" s="6" t="s">
        <v>19</v>
      </c>
      <c r="E215" s="6" t="s">
        <v>19</v>
      </c>
      <c r="F215" s="6" t="s">
        <v>19</v>
      </c>
      <c r="G215" s="6" t="s">
        <v>19</v>
      </c>
      <c r="J215" s="6"/>
    </row>
    <row r="216">
      <c r="A216" s="4"/>
      <c r="B216" s="6" t="s">
        <v>19</v>
      </c>
      <c r="C216" s="6" t="s">
        <v>19</v>
      </c>
      <c r="D216" s="6" t="s">
        <v>19</v>
      </c>
      <c r="E216" s="6" t="s">
        <v>19</v>
      </c>
      <c r="F216" s="6" t="s">
        <v>19</v>
      </c>
      <c r="G216" s="6" t="s">
        <v>19</v>
      </c>
      <c r="J216" s="6"/>
    </row>
    <row r="217">
      <c r="A217" s="4"/>
      <c r="B217" s="6" t="s">
        <v>19</v>
      </c>
      <c r="C217" s="6" t="s">
        <v>19</v>
      </c>
      <c r="D217" s="6" t="s">
        <v>19</v>
      </c>
      <c r="E217" s="6" t="s">
        <v>19</v>
      </c>
      <c r="F217" s="6" t="s">
        <v>19</v>
      </c>
      <c r="G217" s="6" t="s">
        <v>19</v>
      </c>
      <c r="J217" s="6"/>
    </row>
    <row r="218">
      <c r="A218" s="4"/>
      <c r="B218" s="6" t="s">
        <v>19</v>
      </c>
      <c r="C218" s="6" t="s">
        <v>19</v>
      </c>
      <c r="D218" s="6" t="s">
        <v>19</v>
      </c>
      <c r="E218" s="6" t="s">
        <v>19</v>
      </c>
      <c r="F218" s="6" t="s">
        <v>19</v>
      </c>
      <c r="G218" s="6" t="s">
        <v>19</v>
      </c>
      <c r="J218" s="6"/>
    </row>
    <row r="219">
      <c r="A219" s="4"/>
      <c r="B219" s="6" t="s">
        <v>19</v>
      </c>
      <c r="C219" s="6" t="s">
        <v>19</v>
      </c>
      <c r="D219" s="6" t="s">
        <v>19</v>
      </c>
      <c r="E219" s="6" t="s">
        <v>19</v>
      </c>
      <c r="F219" s="6" t="s">
        <v>19</v>
      </c>
      <c r="G219" s="6" t="s">
        <v>19</v>
      </c>
      <c r="J219" s="6"/>
    </row>
    <row r="220">
      <c r="A220" s="4"/>
      <c r="B220" s="6" t="s">
        <v>19</v>
      </c>
      <c r="C220" s="6" t="s">
        <v>19</v>
      </c>
      <c r="D220" s="6" t="s">
        <v>19</v>
      </c>
      <c r="E220" s="6" t="s">
        <v>19</v>
      </c>
      <c r="F220" s="6" t="s">
        <v>19</v>
      </c>
      <c r="G220" s="6" t="s">
        <v>19</v>
      </c>
      <c r="J220" s="6"/>
    </row>
    <row r="221">
      <c r="A221" s="4"/>
      <c r="B221" s="6" t="s">
        <v>19</v>
      </c>
      <c r="C221" s="6" t="s">
        <v>19</v>
      </c>
      <c r="D221" s="6" t="s">
        <v>19</v>
      </c>
      <c r="E221" s="6" t="s">
        <v>19</v>
      </c>
      <c r="F221" s="6" t="s">
        <v>19</v>
      </c>
      <c r="G221" s="6" t="s">
        <v>19</v>
      </c>
      <c r="J221" s="6"/>
    </row>
    <row r="222">
      <c r="A222" s="4"/>
      <c r="B222" s="6" t="s">
        <v>19</v>
      </c>
      <c r="C222" s="6" t="s">
        <v>19</v>
      </c>
      <c r="D222" s="6" t="s">
        <v>19</v>
      </c>
      <c r="E222" s="6" t="s">
        <v>19</v>
      </c>
      <c r="F222" s="6" t="s">
        <v>19</v>
      </c>
      <c r="G222" s="6" t="s">
        <v>19</v>
      </c>
      <c r="J222" s="6"/>
    </row>
    <row r="223">
      <c r="A223" s="4"/>
      <c r="B223" s="6" t="s">
        <v>19</v>
      </c>
      <c r="C223" s="6" t="s">
        <v>19</v>
      </c>
      <c r="D223" s="6" t="s">
        <v>19</v>
      </c>
      <c r="E223" s="6" t="s">
        <v>19</v>
      </c>
      <c r="F223" s="6" t="s">
        <v>19</v>
      </c>
      <c r="G223" s="6" t="s">
        <v>19</v>
      </c>
      <c r="J223" s="6"/>
    </row>
    <row r="224">
      <c r="A224" s="4"/>
      <c r="B224" s="6" t="s">
        <v>19</v>
      </c>
      <c r="C224" s="6" t="s">
        <v>19</v>
      </c>
      <c r="D224" s="6" t="s">
        <v>19</v>
      </c>
      <c r="E224" s="6" t="s">
        <v>19</v>
      </c>
      <c r="F224" s="6" t="s">
        <v>19</v>
      </c>
      <c r="G224" s="6" t="s">
        <v>19</v>
      </c>
      <c r="J224" s="6"/>
    </row>
    <row r="225">
      <c r="A225" s="4"/>
      <c r="B225" s="6" t="s">
        <v>19</v>
      </c>
      <c r="C225" s="6" t="s">
        <v>19</v>
      </c>
      <c r="D225" s="6" t="s">
        <v>19</v>
      </c>
      <c r="E225" s="6" t="s">
        <v>19</v>
      </c>
      <c r="F225" s="6" t="s">
        <v>19</v>
      </c>
      <c r="G225" s="6" t="s">
        <v>19</v>
      </c>
      <c r="J225" s="6"/>
    </row>
    <row r="226">
      <c r="A226" s="4"/>
      <c r="B226" s="6" t="s">
        <v>19</v>
      </c>
      <c r="C226" s="6" t="s">
        <v>19</v>
      </c>
      <c r="D226" s="6" t="s">
        <v>19</v>
      </c>
      <c r="E226" s="6" t="s">
        <v>19</v>
      </c>
      <c r="F226" s="6" t="s">
        <v>19</v>
      </c>
      <c r="G226" s="6" t="s">
        <v>19</v>
      </c>
      <c r="J226" s="6"/>
    </row>
    <row r="227">
      <c r="A227" s="4"/>
      <c r="B227" s="6" t="s">
        <v>19</v>
      </c>
      <c r="C227" s="6" t="s">
        <v>19</v>
      </c>
      <c r="D227" s="6" t="s">
        <v>19</v>
      </c>
      <c r="E227" s="6" t="s">
        <v>19</v>
      </c>
      <c r="F227" s="6" t="s">
        <v>19</v>
      </c>
      <c r="G227" s="6" t="s">
        <v>19</v>
      </c>
      <c r="J227" s="6"/>
    </row>
    <row r="228">
      <c r="A228" s="4"/>
      <c r="B228" s="6" t="s">
        <v>19</v>
      </c>
      <c r="C228" s="6" t="s">
        <v>19</v>
      </c>
      <c r="D228" s="6" t="s">
        <v>19</v>
      </c>
      <c r="E228" s="6" t="s">
        <v>19</v>
      </c>
      <c r="F228" s="6" t="s">
        <v>19</v>
      </c>
      <c r="G228" s="6" t="s">
        <v>19</v>
      </c>
      <c r="J228" s="6"/>
    </row>
    <row r="229">
      <c r="A229" s="4"/>
      <c r="B229" s="6" t="s">
        <v>19</v>
      </c>
      <c r="C229" s="6" t="s">
        <v>19</v>
      </c>
      <c r="D229" s="6" t="s">
        <v>19</v>
      </c>
      <c r="E229" s="6" t="s">
        <v>19</v>
      </c>
      <c r="F229" s="6" t="s">
        <v>19</v>
      </c>
      <c r="G229" s="6" t="s">
        <v>19</v>
      </c>
      <c r="J229" s="6"/>
    </row>
    <row r="230">
      <c r="A230" s="4"/>
      <c r="B230" s="6" t="s">
        <v>19</v>
      </c>
      <c r="C230" s="6" t="s">
        <v>19</v>
      </c>
      <c r="D230" s="6" t="s">
        <v>19</v>
      </c>
      <c r="E230" s="6" t="s">
        <v>19</v>
      </c>
      <c r="F230" s="6" t="s">
        <v>19</v>
      </c>
      <c r="G230" s="6" t="s">
        <v>19</v>
      </c>
      <c r="J230" s="6"/>
    </row>
    <row r="231">
      <c r="A231" s="4"/>
      <c r="B231" s="6" t="s">
        <v>19</v>
      </c>
      <c r="C231" s="6" t="s">
        <v>19</v>
      </c>
      <c r="D231" s="6" t="s">
        <v>19</v>
      </c>
      <c r="E231" s="6" t="s">
        <v>19</v>
      </c>
      <c r="F231" s="6" t="s">
        <v>19</v>
      </c>
      <c r="G231" s="6" t="s">
        <v>19</v>
      </c>
      <c r="J231" s="6"/>
    </row>
    <row r="232">
      <c r="A232" s="4"/>
      <c r="B232" s="6" t="s">
        <v>19</v>
      </c>
      <c r="C232" s="6" t="s">
        <v>19</v>
      </c>
      <c r="D232" s="6" t="s">
        <v>19</v>
      </c>
      <c r="E232" s="6" t="s">
        <v>19</v>
      </c>
      <c r="F232" s="6" t="s">
        <v>19</v>
      </c>
      <c r="G232" s="6" t="s">
        <v>19</v>
      </c>
      <c r="J232" s="6"/>
    </row>
    <row r="233">
      <c r="A233" s="4"/>
      <c r="B233" s="6" t="s">
        <v>19</v>
      </c>
      <c r="C233" s="6" t="s">
        <v>19</v>
      </c>
      <c r="D233" s="6" t="s">
        <v>19</v>
      </c>
      <c r="E233" s="6" t="s">
        <v>19</v>
      </c>
      <c r="F233" s="6" t="s">
        <v>19</v>
      </c>
      <c r="G233" s="6" t="s">
        <v>19</v>
      </c>
      <c r="J233" s="6"/>
    </row>
    <row r="234">
      <c r="A234" s="4"/>
      <c r="B234" s="6" t="s">
        <v>19</v>
      </c>
      <c r="C234" s="6" t="s">
        <v>19</v>
      </c>
      <c r="D234" s="6" t="s">
        <v>19</v>
      </c>
      <c r="E234" s="6" t="s">
        <v>19</v>
      </c>
      <c r="F234" s="6" t="s">
        <v>19</v>
      </c>
      <c r="G234" s="6" t="s">
        <v>19</v>
      </c>
      <c r="J234" s="6"/>
    </row>
    <row r="235">
      <c r="A235" s="4"/>
      <c r="B235" s="6" t="s">
        <v>19</v>
      </c>
      <c r="C235" s="6" t="s">
        <v>19</v>
      </c>
      <c r="D235" s="6" t="s">
        <v>19</v>
      </c>
      <c r="E235" s="6" t="s">
        <v>19</v>
      </c>
      <c r="F235" s="6" t="s">
        <v>19</v>
      </c>
      <c r="G235" s="6" t="s">
        <v>19</v>
      </c>
      <c r="J235" s="6"/>
    </row>
    <row r="236">
      <c r="A236" s="4"/>
      <c r="B236" s="6" t="s">
        <v>19</v>
      </c>
      <c r="C236" s="6" t="s">
        <v>19</v>
      </c>
      <c r="D236" s="6" t="s">
        <v>19</v>
      </c>
      <c r="E236" s="6" t="s">
        <v>19</v>
      </c>
      <c r="F236" s="6" t="s">
        <v>19</v>
      </c>
      <c r="G236" s="6" t="s">
        <v>19</v>
      </c>
      <c r="J236" s="6"/>
    </row>
    <row r="237">
      <c r="A237" s="4"/>
      <c r="B237" s="6" t="s">
        <v>19</v>
      </c>
      <c r="C237" s="6" t="s">
        <v>19</v>
      </c>
      <c r="D237" s="6" t="s">
        <v>19</v>
      </c>
      <c r="E237" s="6" t="s">
        <v>19</v>
      </c>
      <c r="F237" s="6" t="s">
        <v>19</v>
      </c>
      <c r="G237" s="6" t="s">
        <v>19</v>
      </c>
      <c r="J237" s="6"/>
    </row>
    <row r="238">
      <c r="A238" s="4"/>
      <c r="B238" s="6" t="s">
        <v>19</v>
      </c>
      <c r="C238" s="6" t="s">
        <v>19</v>
      </c>
      <c r="D238" s="6" t="s">
        <v>19</v>
      </c>
      <c r="E238" s="6" t="s">
        <v>19</v>
      </c>
      <c r="F238" s="6" t="s">
        <v>19</v>
      </c>
      <c r="G238" s="6" t="s">
        <v>19</v>
      </c>
      <c r="J238" s="6"/>
    </row>
    <row r="239">
      <c r="A239" s="4"/>
      <c r="B239" s="6" t="s">
        <v>19</v>
      </c>
      <c r="C239" s="6" t="s">
        <v>19</v>
      </c>
      <c r="D239" s="6" t="s">
        <v>19</v>
      </c>
      <c r="E239" s="6" t="s">
        <v>19</v>
      </c>
      <c r="F239" s="6" t="s">
        <v>19</v>
      </c>
      <c r="G239" s="6" t="s">
        <v>19</v>
      </c>
      <c r="J239" s="6"/>
    </row>
    <row r="240">
      <c r="A240" s="4"/>
      <c r="B240" s="6" t="s">
        <v>19</v>
      </c>
      <c r="C240" s="6" t="s">
        <v>19</v>
      </c>
      <c r="D240" s="6" t="s">
        <v>19</v>
      </c>
      <c r="E240" s="6" t="s">
        <v>19</v>
      </c>
      <c r="F240" s="6" t="s">
        <v>19</v>
      </c>
      <c r="G240" s="6" t="s">
        <v>19</v>
      </c>
      <c r="J240" s="6"/>
    </row>
    <row r="241">
      <c r="A241" s="4"/>
      <c r="B241" s="6" t="s">
        <v>19</v>
      </c>
      <c r="C241" s="6" t="s">
        <v>19</v>
      </c>
      <c r="D241" s="6" t="s">
        <v>19</v>
      </c>
      <c r="E241" s="6" t="s">
        <v>19</v>
      </c>
      <c r="F241" s="6" t="s">
        <v>19</v>
      </c>
      <c r="G241" s="6" t="s">
        <v>19</v>
      </c>
      <c r="J241" s="6"/>
    </row>
    <row r="242">
      <c r="A242" s="4"/>
      <c r="B242" s="6" t="s">
        <v>19</v>
      </c>
      <c r="C242" s="6" t="s">
        <v>19</v>
      </c>
      <c r="D242" s="6" t="s">
        <v>19</v>
      </c>
      <c r="E242" s="6" t="s">
        <v>19</v>
      </c>
      <c r="F242" s="6" t="s">
        <v>19</v>
      </c>
      <c r="G242" s="6" t="s">
        <v>19</v>
      </c>
      <c r="J242" s="6"/>
    </row>
    <row r="243">
      <c r="A243" s="4"/>
      <c r="B243" s="6" t="s">
        <v>19</v>
      </c>
      <c r="C243" s="6" t="s">
        <v>19</v>
      </c>
      <c r="D243" s="6" t="s">
        <v>19</v>
      </c>
      <c r="E243" s="6" t="s">
        <v>19</v>
      </c>
      <c r="F243" s="6" t="s">
        <v>19</v>
      </c>
      <c r="G243" s="6" t="s">
        <v>19</v>
      </c>
      <c r="J243" s="6"/>
    </row>
    <row r="244">
      <c r="A244" s="4"/>
      <c r="B244" s="6" t="s">
        <v>19</v>
      </c>
      <c r="C244" s="6" t="s">
        <v>19</v>
      </c>
      <c r="D244" s="6" t="s">
        <v>19</v>
      </c>
      <c r="E244" s="6" t="s">
        <v>19</v>
      </c>
      <c r="F244" s="6" t="s">
        <v>19</v>
      </c>
      <c r="G244" s="6" t="s">
        <v>19</v>
      </c>
      <c r="J244" s="6"/>
    </row>
    <row r="245">
      <c r="A245" s="4"/>
      <c r="B245" s="6" t="s">
        <v>19</v>
      </c>
      <c r="C245" s="6" t="s">
        <v>19</v>
      </c>
      <c r="D245" s="6" t="s">
        <v>19</v>
      </c>
      <c r="E245" s="6" t="s">
        <v>19</v>
      </c>
      <c r="F245" s="6" t="s">
        <v>19</v>
      </c>
      <c r="G245" s="6" t="s">
        <v>19</v>
      </c>
      <c r="J245" s="6"/>
    </row>
    <row r="246">
      <c r="A246" s="4"/>
      <c r="B246" s="6" t="s">
        <v>19</v>
      </c>
      <c r="C246" s="6" t="s">
        <v>19</v>
      </c>
      <c r="D246" s="6" t="s">
        <v>19</v>
      </c>
      <c r="E246" s="6" t="s">
        <v>19</v>
      </c>
      <c r="F246" s="6" t="s">
        <v>19</v>
      </c>
      <c r="G246" s="6" t="s">
        <v>19</v>
      </c>
      <c r="J246" s="6"/>
    </row>
    <row r="247">
      <c r="A247" s="4"/>
      <c r="B247" s="6" t="s">
        <v>19</v>
      </c>
      <c r="C247" s="6" t="s">
        <v>19</v>
      </c>
      <c r="D247" s="6" t="s">
        <v>19</v>
      </c>
      <c r="E247" s="6" t="s">
        <v>19</v>
      </c>
      <c r="F247" s="6" t="s">
        <v>19</v>
      </c>
      <c r="G247" s="6" t="s">
        <v>19</v>
      </c>
      <c r="J247" s="6"/>
    </row>
    <row r="248">
      <c r="A248" s="4"/>
      <c r="B248" s="6" t="s">
        <v>19</v>
      </c>
      <c r="C248" s="6" t="s">
        <v>19</v>
      </c>
      <c r="D248" s="6" t="s">
        <v>19</v>
      </c>
      <c r="E248" s="6" t="s">
        <v>19</v>
      </c>
      <c r="F248" s="6" t="s">
        <v>19</v>
      </c>
      <c r="G248" s="6" t="s">
        <v>19</v>
      </c>
      <c r="J248" s="6"/>
    </row>
    <row r="249">
      <c r="A249" s="4"/>
      <c r="B249" s="6" t="s">
        <v>19</v>
      </c>
      <c r="C249" s="6" t="s">
        <v>19</v>
      </c>
      <c r="D249" s="6" t="s">
        <v>19</v>
      </c>
      <c r="E249" s="6" t="s">
        <v>19</v>
      </c>
      <c r="F249" s="6" t="s">
        <v>19</v>
      </c>
      <c r="G249" s="6" t="s">
        <v>19</v>
      </c>
      <c r="J249" s="6"/>
    </row>
    <row r="250">
      <c r="A250" s="4"/>
      <c r="B250" s="6" t="s">
        <v>19</v>
      </c>
      <c r="C250" s="6" t="s">
        <v>19</v>
      </c>
      <c r="D250" s="6" t="s">
        <v>19</v>
      </c>
      <c r="E250" s="6" t="s">
        <v>19</v>
      </c>
      <c r="F250" s="6" t="s">
        <v>19</v>
      </c>
      <c r="G250" s="6" t="s">
        <v>19</v>
      </c>
      <c r="J250" s="6"/>
    </row>
    <row r="251">
      <c r="A251" s="4"/>
      <c r="B251" s="6" t="s">
        <v>19</v>
      </c>
      <c r="C251" s="6" t="s">
        <v>19</v>
      </c>
      <c r="D251" s="6" t="s">
        <v>19</v>
      </c>
      <c r="E251" s="6" t="s">
        <v>19</v>
      </c>
      <c r="F251" s="6" t="s">
        <v>19</v>
      </c>
      <c r="G251" s="6" t="s">
        <v>19</v>
      </c>
      <c r="J251" s="6"/>
    </row>
    <row r="252">
      <c r="A252" s="4"/>
      <c r="B252" s="6" t="s">
        <v>19</v>
      </c>
      <c r="C252" s="6" t="s">
        <v>19</v>
      </c>
      <c r="D252" s="6" t="s">
        <v>19</v>
      </c>
      <c r="E252" s="6" t="s">
        <v>19</v>
      </c>
      <c r="F252" s="6" t="s">
        <v>19</v>
      </c>
      <c r="G252" s="6" t="s">
        <v>19</v>
      </c>
      <c r="J252" s="6"/>
    </row>
    <row r="253">
      <c r="A253" s="4"/>
      <c r="B253" s="6" t="s">
        <v>19</v>
      </c>
      <c r="C253" s="6" t="s">
        <v>19</v>
      </c>
      <c r="D253" s="6" t="s">
        <v>19</v>
      </c>
      <c r="E253" s="6" t="s">
        <v>19</v>
      </c>
      <c r="F253" s="6" t="s">
        <v>19</v>
      </c>
      <c r="G253" s="6" t="s">
        <v>19</v>
      </c>
      <c r="J253" s="6"/>
    </row>
    <row r="254">
      <c r="A254" s="4"/>
      <c r="B254" s="6" t="s">
        <v>19</v>
      </c>
      <c r="C254" s="6" t="s">
        <v>19</v>
      </c>
      <c r="D254" s="6" t="s">
        <v>19</v>
      </c>
      <c r="E254" s="6" t="s">
        <v>19</v>
      </c>
      <c r="F254" s="6" t="s">
        <v>19</v>
      </c>
      <c r="G254" s="6" t="s">
        <v>19</v>
      </c>
      <c r="J254" s="6"/>
    </row>
    <row r="255">
      <c r="A255" s="4"/>
      <c r="B255" s="6" t="s">
        <v>19</v>
      </c>
      <c r="C255" s="6" t="s">
        <v>19</v>
      </c>
      <c r="D255" s="6" t="s">
        <v>19</v>
      </c>
      <c r="E255" s="6" t="s">
        <v>19</v>
      </c>
      <c r="F255" s="6" t="s">
        <v>19</v>
      </c>
      <c r="G255" s="6" t="s">
        <v>19</v>
      </c>
      <c r="J255" s="6"/>
    </row>
    <row r="256">
      <c r="A256" s="4"/>
      <c r="B256" s="6" t="s">
        <v>19</v>
      </c>
      <c r="C256" s="6" t="s">
        <v>19</v>
      </c>
      <c r="D256" s="6" t="s">
        <v>19</v>
      </c>
      <c r="E256" s="6" t="s">
        <v>19</v>
      </c>
      <c r="F256" s="6" t="s">
        <v>19</v>
      </c>
      <c r="G256" s="6" t="s">
        <v>19</v>
      </c>
      <c r="J256" s="6"/>
    </row>
    <row r="257">
      <c r="A257" s="4"/>
      <c r="B257" s="6" t="s">
        <v>19</v>
      </c>
      <c r="C257" s="6" t="s">
        <v>19</v>
      </c>
      <c r="D257" s="6" t="s">
        <v>19</v>
      </c>
      <c r="E257" s="6" t="s">
        <v>19</v>
      </c>
      <c r="F257" s="6" t="s">
        <v>19</v>
      </c>
      <c r="G257" s="6" t="s">
        <v>19</v>
      </c>
      <c r="J257" s="6"/>
    </row>
    <row r="258">
      <c r="A258" s="4"/>
      <c r="B258" s="6" t="s">
        <v>19</v>
      </c>
      <c r="C258" s="6" t="s">
        <v>19</v>
      </c>
      <c r="D258" s="6" t="s">
        <v>19</v>
      </c>
      <c r="E258" s="6" t="s">
        <v>19</v>
      </c>
      <c r="F258" s="6" t="s">
        <v>19</v>
      </c>
      <c r="G258" s="6" t="s">
        <v>19</v>
      </c>
      <c r="J258" s="6"/>
    </row>
    <row r="259">
      <c r="A259" s="4"/>
      <c r="B259" s="6" t="s">
        <v>19</v>
      </c>
      <c r="C259" s="6" t="s">
        <v>19</v>
      </c>
      <c r="D259" s="6" t="s">
        <v>19</v>
      </c>
      <c r="E259" s="6" t="s">
        <v>19</v>
      </c>
      <c r="F259" s="6" t="s">
        <v>19</v>
      </c>
      <c r="G259" s="6" t="s">
        <v>19</v>
      </c>
      <c r="J259" s="6"/>
    </row>
    <row r="260">
      <c r="A260" s="4"/>
      <c r="B260" s="6" t="s">
        <v>19</v>
      </c>
      <c r="C260" s="6" t="s">
        <v>19</v>
      </c>
      <c r="D260" s="6" t="s">
        <v>19</v>
      </c>
      <c r="E260" s="6" t="s">
        <v>19</v>
      </c>
      <c r="F260" s="6" t="s">
        <v>19</v>
      </c>
      <c r="G260" s="6" t="s">
        <v>19</v>
      </c>
      <c r="J260" s="6"/>
    </row>
    <row r="261">
      <c r="A261" s="4"/>
      <c r="B261" s="6" t="s">
        <v>19</v>
      </c>
      <c r="C261" s="6" t="s">
        <v>19</v>
      </c>
      <c r="D261" s="6" t="s">
        <v>19</v>
      </c>
      <c r="E261" s="6" t="s">
        <v>19</v>
      </c>
      <c r="F261" s="6" t="s">
        <v>19</v>
      </c>
      <c r="G261" s="6" t="s">
        <v>19</v>
      </c>
      <c r="J261" s="6"/>
    </row>
    <row r="262">
      <c r="A262" s="4"/>
      <c r="B262" s="6" t="s">
        <v>19</v>
      </c>
      <c r="C262" s="6" t="s">
        <v>19</v>
      </c>
      <c r="D262" s="6" t="s">
        <v>19</v>
      </c>
      <c r="E262" s="6" t="s">
        <v>19</v>
      </c>
      <c r="F262" s="6" t="s">
        <v>19</v>
      </c>
      <c r="G262" s="6" t="s">
        <v>19</v>
      </c>
      <c r="J262" s="6"/>
    </row>
    <row r="263">
      <c r="A263" s="4"/>
      <c r="B263" s="6" t="s">
        <v>19</v>
      </c>
      <c r="C263" s="6" t="s">
        <v>19</v>
      </c>
      <c r="D263" s="6" t="s">
        <v>19</v>
      </c>
      <c r="E263" s="6" t="s">
        <v>19</v>
      </c>
      <c r="F263" s="6" t="s">
        <v>19</v>
      </c>
      <c r="G263" s="6" t="s">
        <v>19</v>
      </c>
      <c r="J263" s="6"/>
    </row>
    <row r="264">
      <c r="A264" s="4"/>
      <c r="B264" s="6" t="s">
        <v>19</v>
      </c>
      <c r="C264" s="6" t="s">
        <v>19</v>
      </c>
      <c r="D264" s="6" t="s">
        <v>19</v>
      </c>
      <c r="E264" s="6" t="s">
        <v>19</v>
      </c>
      <c r="F264" s="6" t="s">
        <v>19</v>
      </c>
      <c r="G264" s="6" t="s">
        <v>19</v>
      </c>
      <c r="J264" s="6"/>
    </row>
    <row r="265">
      <c r="A265" s="4"/>
      <c r="B265" s="6" t="s">
        <v>19</v>
      </c>
      <c r="C265" s="6" t="s">
        <v>19</v>
      </c>
      <c r="D265" s="6" t="s">
        <v>19</v>
      </c>
      <c r="E265" s="6" t="s">
        <v>19</v>
      </c>
      <c r="F265" s="6" t="s">
        <v>19</v>
      </c>
      <c r="G265" s="6" t="s">
        <v>19</v>
      </c>
      <c r="J265" s="6"/>
    </row>
    <row r="266">
      <c r="A266" s="4"/>
      <c r="B266" s="6" t="s">
        <v>19</v>
      </c>
      <c r="C266" s="6" t="s">
        <v>19</v>
      </c>
      <c r="D266" s="6" t="s">
        <v>19</v>
      </c>
      <c r="E266" s="6" t="s">
        <v>19</v>
      </c>
      <c r="F266" s="6" t="s">
        <v>19</v>
      </c>
      <c r="G266" s="6" t="s">
        <v>19</v>
      </c>
      <c r="J266" s="6"/>
    </row>
    <row r="267">
      <c r="A267" s="4"/>
      <c r="B267" s="6" t="s">
        <v>19</v>
      </c>
      <c r="C267" s="6" t="s">
        <v>19</v>
      </c>
      <c r="D267" s="6" t="s">
        <v>19</v>
      </c>
      <c r="E267" s="6" t="s">
        <v>19</v>
      </c>
      <c r="F267" s="6" t="s">
        <v>19</v>
      </c>
      <c r="G267" s="6" t="s">
        <v>19</v>
      </c>
      <c r="J267" s="6"/>
    </row>
    <row r="268">
      <c r="A268" s="4"/>
      <c r="B268" s="6" t="s">
        <v>19</v>
      </c>
      <c r="C268" s="6" t="s">
        <v>19</v>
      </c>
      <c r="D268" s="6" t="s">
        <v>19</v>
      </c>
      <c r="E268" s="6" t="s">
        <v>19</v>
      </c>
      <c r="F268" s="6" t="s">
        <v>19</v>
      </c>
      <c r="G268" s="6" t="s">
        <v>19</v>
      </c>
      <c r="J268" s="6"/>
    </row>
    <row r="269">
      <c r="A269" s="4"/>
      <c r="B269" s="6" t="s">
        <v>19</v>
      </c>
      <c r="C269" s="6" t="s">
        <v>19</v>
      </c>
      <c r="D269" s="6" t="s">
        <v>19</v>
      </c>
      <c r="E269" s="6" t="s">
        <v>19</v>
      </c>
      <c r="F269" s="6" t="s">
        <v>19</v>
      </c>
      <c r="G269" s="6" t="s">
        <v>19</v>
      </c>
      <c r="J269" s="6"/>
    </row>
    <row r="270">
      <c r="A270" s="4"/>
      <c r="B270" s="6" t="s">
        <v>19</v>
      </c>
      <c r="C270" s="6" t="s">
        <v>19</v>
      </c>
      <c r="D270" s="6" t="s">
        <v>19</v>
      </c>
      <c r="E270" s="6" t="s">
        <v>19</v>
      </c>
      <c r="F270" s="6" t="s">
        <v>19</v>
      </c>
      <c r="G270" s="6" t="s">
        <v>19</v>
      </c>
      <c r="J270" s="6"/>
    </row>
    <row r="271">
      <c r="A271" s="4"/>
      <c r="B271" s="6" t="s">
        <v>19</v>
      </c>
      <c r="C271" s="6" t="s">
        <v>19</v>
      </c>
      <c r="D271" s="6" t="s">
        <v>19</v>
      </c>
      <c r="E271" s="6" t="s">
        <v>19</v>
      </c>
      <c r="F271" s="6" t="s">
        <v>19</v>
      </c>
      <c r="G271" s="6" t="s">
        <v>19</v>
      </c>
      <c r="J271" s="6"/>
    </row>
    <row r="272">
      <c r="A272" s="4"/>
      <c r="B272" s="6" t="s">
        <v>19</v>
      </c>
      <c r="C272" s="6" t="s">
        <v>19</v>
      </c>
      <c r="D272" s="6" t="s">
        <v>19</v>
      </c>
      <c r="E272" s="6" t="s">
        <v>19</v>
      </c>
      <c r="F272" s="6" t="s">
        <v>19</v>
      </c>
      <c r="G272" s="6" t="s">
        <v>19</v>
      </c>
      <c r="J272" s="6"/>
    </row>
    <row r="273">
      <c r="A273" s="4"/>
      <c r="B273" s="6" t="s">
        <v>19</v>
      </c>
      <c r="C273" s="6" t="s">
        <v>19</v>
      </c>
      <c r="D273" s="6" t="s">
        <v>19</v>
      </c>
      <c r="E273" s="6" t="s">
        <v>19</v>
      </c>
      <c r="F273" s="6" t="s">
        <v>19</v>
      </c>
      <c r="G273" s="6" t="s">
        <v>19</v>
      </c>
      <c r="J273" s="6"/>
    </row>
    <row r="274">
      <c r="A274" s="4"/>
      <c r="B274" s="6" t="s">
        <v>19</v>
      </c>
      <c r="C274" s="6" t="s">
        <v>19</v>
      </c>
      <c r="D274" s="6" t="s">
        <v>19</v>
      </c>
      <c r="E274" s="6" t="s">
        <v>19</v>
      </c>
      <c r="F274" s="6" t="s">
        <v>19</v>
      </c>
      <c r="G274" s="6" t="s">
        <v>19</v>
      </c>
      <c r="J274" s="6"/>
    </row>
    <row r="275">
      <c r="A275" s="4"/>
      <c r="B275" s="6" t="s">
        <v>19</v>
      </c>
      <c r="C275" s="6" t="s">
        <v>19</v>
      </c>
      <c r="D275" s="6" t="s">
        <v>19</v>
      </c>
      <c r="E275" s="6" t="s">
        <v>19</v>
      </c>
      <c r="F275" s="6" t="s">
        <v>19</v>
      </c>
      <c r="G275" s="6" t="s">
        <v>19</v>
      </c>
      <c r="J275" s="6"/>
    </row>
    <row r="276">
      <c r="A276" s="4"/>
      <c r="B276" s="6" t="s">
        <v>19</v>
      </c>
      <c r="C276" s="6" t="s">
        <v>19</v>
      </c>
      <c r="D276" s="6" t="s">
        <v>19</v>
      </c>
      <c r="E276" s="6" t="s">
        <v>19</v>
      </c>
      <c r="F276" s="6" t="s">
        <v>19</v>
      </c>
      <c r="G276" s="6" t="s">
        <v>19</v>
      </c>
      <c r="J276" s="6"/>
    </row>
    <row r="277">
      <c r="A277" s="4"/>
      <c r="B277" s="6" t="s">
        <v>19</v>
      </c>
      <c r="C277" s="6" t="s">
        <v>19</v>
      </c>
      <c r="D277" s="6" t="s">
        <v>19</v>
      </c>
      <c r="E277" s="6" t="s">
        <v>19</v>
      </c>
      <c r="F277" s="6" t="s">
        <v>19</v>
      </c>
      <c r="G277" s="6" t="s">
        <v>19</v>
      </c>
      <c r="J277" s="6"/>
    </row>
    <row r="278">
      <c r="A278" s="4"/>
      <c r="B278" s="6" t="s">
        <v>19</v>
      </c>
      <c r="C278" s="6" t="s">
        <v>19</v>
      </c>
      <c r="D278" s="6" t="s">
        <v>19</v>
      </c>
      <c r="E278" s="6" t="s">
        <v>19</v>
      </c>
      <c r="F278" s="6" t="s">
        <v>19</v>
      </c>
      <c r="G278" s="6" t="s">
        <v>19</v>
      </c>
      <c r="J278" s="6"/>
    </row>
    <row r="279">
      <c r="A279" s="4"/>
      <c r="B279" s="6" t="s">
        <v>19</v>
      </c>
      <c r="C279" s="6" t="s">
        <v>19</v>
      </c>
      <c r="D279" s="6" t="s">
        <v>19</v>
      </c>
      <c r="E279" s="6" t="s">
        <v>19</v>
      </c>
      <c r="F279" s="6" t="s">
        <v>19</v>
      </c>
      <c r="G279" s="6" t="s">
        <v>19</v>
      </c>
      <c r="J279" s="6"/>
    </row>
    <row r="280">
      <c r="A280" s="4"/>
      <c r="B280" s="6" t="s">
        <v>19</v>
      </c>
      <c r="C280" s="6" t="s">
        <v>19</v>
      </c>
      <c r="D280" s="6" t="s">
        <v>19</v>
      </c>
      <c r="E280" s="6" t="s">
        <v>19</v>
      </c>
      <c r="F280" s="6" t="s">
        <v>19</v>
      </c>
      <c r="G280" s="6" t="s">
        <v>19</v>
      </c>
      <c r="J280" s="6"/>
    </row>
    <row r="281">
      <c r="A281" s="4"/>
      <c r="B281" s="6" t="s">
        <v>19</v>
      </c>
      <c r="C281" s="6" t="s">
        <v>19</v>
      </c>
      <c r="D281" s="6" t="s">
        <v>19</v>
      </c>
      <c r="E281" s="6" t="s">
        <v>19</v>
      </c>
      <c r="F281" s="6" t="s">
        <v>19</v>
      </c>
      <c r="G281" s="6" t="s">
        <v>19</v>
      </c>
      <c r="J281" s="6"/>
    </row>
    <row r="282">
      <c r="A282" s="4"/>
      <c r="B282" s="6" t="s">
        <v>19</v>
      </c>
      <c r="C282" s="6" t="s">
        <v>19</v>
      </c>
      <c r="D282" s="6" t="s">
        <v>19</v>
      </c>
      <c r="E282" s="6" t="s">
        <v>19</v>
      </c>
      <c r="F282" s="6" t="s">
        <v>19</v>
      </c>
      <c r="G282" s="6" t="s">
        <v>19</v>
      </c>
      <c r="J282" s="6"/>
    </row>
    <row r="283">
      <c r="A283" s="4"/>
      <c r="B283" s="6" t="s">
        <v>19</v>
      </c>
      <c r="C283" s="6" t="s">
        <v>19</v>
      </c>
      <c r="D283" s="6" t="s">
        <v>19</v>
      </c>
      <c r="E283" s="6" t="s">
        <v>19</v>
      </c>
      <c r="F283" s="6" t="s">
        <v>19</v>
      </c>
      <c r="G283" s="6" t="s">
        <v>19</v>
      </c>
      <c r="J283" s="6"/>
    </row>
    <row r="284">
      <c r="A284" s="4"/>
      <c r="B284" s="6" t="s">
        <v>19</v>
      </c>
      <c r="C284" s="6" t="s">
        <v>19</v>
      </c>
      <c r="D284" s="6" t="s">
        <v>19</v>
      </c>
      <c r="E284" s="6" t="s">
        <v>19</v>
      </c>
      <c r="F284" s="6" t="s">
        <v>19</v>
      </c>
      <c r="G284" s="6" t="s">
        <v>19</v>
      </c>
      <c r="J284" s="6"/>
    </row>
    <row r="285">
      <c r="A285" s="4"/>
      <c r="B285" s="6" t="s">
        <v>19</v>
      </c>
      <c r="C285" s="6" t="s">
        <v>19</v>
      </c>
      <c r="D285" s="6" t="s">
        <v>19</v>
      </c>
      <c r="E285" s="6" t="s">
        <v>19</v>
      </c>
      <c r="F285" s="6" t="s">
        <v>19</v>
      </c>
      <c r="G285" s="6" t="s">
        <v>19</v>
      </c>
      <c r="J285" s="6"/>
    </row>
    <row r="286">
      <c r="A286" s="4"/>
      <c r="B286" s="6" t="s">
        <v>19</v>
      </c>
      <c r="C286" s="6" t="s">
        <v>19</v>
      </c>
      <c r="D286" s="6" t="s">
        <v>19</v>
      </c>
      <c r="E286" s="6" t="s">
        <v>19</v>
      </c>
      <c r="F286" s="6" t="s">
        <v>19</v>
      </c>
      <c r="G286" s="6" t="s">
        <v>19</v>
      </c>
      <c r="J286" s="6"/>
    </row>
    <row r="287">
      <c r="A287" s="4"/>
      <c r="B287" s="6" t="s">
        <v>19</v>
      </c>
      <c r="C287" s="6" t="s">
        <v>19</v>
      </c>
      <c r="D287" s="6" t="s">
        <v>19</v>
      </c>
      <c r="E287" s="6" t="s">
        <v>19</v>
      </c>
      <c r="F287" s="6" t="s">
        <v>19</v>
      </c>
      <c r="G287" s="6" t="s">
        <v>19</v>
      </c>
      <c r="J287" s="6"/>
    </row>
    <row r="288">
      <c r="A288" s="4"/>
      <c r="B288" s="6" t="s">
        <v>19</v>
      </c>
      <c r="C288" s="6" t="s">
        <v>19</v>
      </c>
      <c r="D288" s="6" t="s">
        <v>19</v>
      </c>
      <c r="E288" s="6" t="s">
        <v>19</v>
      </c>
      <c r="F288" s="6" t="s">
        <v>19</v>
      </c>
      <c r="G288" s="6" t="s">
        <v>19</v>
      </c>
      <c r="J288" s="6"/>
    </row>
    <row r="289">
      <c r="A289" s="4"/>
      <c r="B289" s="6" t="s">
        <v>19</v>
      </c>
      <c r="C289" s="6" t="s">
        <v>19</v>
      </c>
      <c r="D289" s="6" t="s">
        <v>19</v>
      </c>
      <c r="E289" s="6" t="s">
        <v>19</v>
      </c>
      <c r="F289" s="6" t="s">
        <v>19</v>
      </c>
      <c r="G289" s="6" t="s">
        <v>19</v>
      </c>
      <c r="J289" s="6"/>
    </row>
    <row r="290">
      <c r="A290" s="4"/>
      <c r="B290" s="6" t="s">
        <v>19</v>
      </c>
      <c r="C290" s="6" t="s">
        <v>19</v>
      </c>
      <c r="D290" s="6" t="s">
        <v>19</v>
      </c>
      <c r="E290" s="6" t="s">
        <v>19</v>
      </c>
      <c r="F290" s="6" t="s">
        <v>19</v>
      </c>
      <c r="G290" s="6" t="s">
        <v>19</v>
      </c>
      <c r="J290" s="6"/>
    </row>
    <row r="291">
      <c r="A291" s="4"/>
      <c r="B291" s="6" t="s">
        <v>19</v>
      </c>
      <c r="C291" s="6" t="s">
        <v>19</v>
      </c>
      <c r="D291" s="6" t="s">
        <v>19</v>
      </c>
      <c r="E291" s="6" t="s">
        <v>19</v>
      </c>
      <c r="F291" s="6" t="s">
        <v>19</v>
      </c>
      <c r="G291" s="6" t="s">
        <v>19</v>
      </c>
      <c r="J291" s="6"/>
    </row>
    <row r="292">
      <c r="A292" s="4"/>
      <c r="B292" s="6" t="s">
        <v>19</v>
      </c>
      <c r="C292" s="6" t="s">
        <v>19</v>
      </c>
      <c r="D292" s="6" t="s">
        <v>19</v>
      </c>
      <c r="E292" s="6" t="s">
        <v>19</v>
      </c>
      <c r="F292" s="6" t="s">
        <v>19</v>
      </c>
      <c r="G292" s="6" t="s">
        <v>19</v>
      </c>
      <c r="J292" s="6"/>
    </row>
    <row r="293">
      <c r="A293" s="4"/>
      <c r="B293" s="6" t="s">
        <v>19</v>
      </c>
      <c r="C293" s="6" t="s">
        <v>19</v>
      </c>
      <c r="D293" s="6" t="s">
        <v>19</v>
      </c>
      <c r="E293" s="6" t="s">
        <v>19</v>
      </c>
      <c r="F293" s="6" t="s">
        <v>19</v>
      </c>
      <c r="G293" s="6" t="s">
        <v>19</v>
      </c>
      <c r="J293" s="6"/>
    </row>
    <row r="294">
      <c r="A294" s="4"/>
      <c r="B294" s="6" t="s">
        <v>19</v>
      </c>
      <c r="C294" s="6" t="s">
        <v>19</v>
      </c>
      <c r="D294" s="6" t="s">
        <v>19</v>
      </c>
      <c r="E294" s="6" t="s">
        <v>19</v>
      </c>
      <c r="F294" s="6" t="s">
        <v>19</v>
      </c>
      <c r="G294" s="6" t="s">
        <v>19</v>
      </c>
      <c r="J294" s="6"/>
    </row>
    <row r="295">
      <c r="A295" s="4"/>
      <c r="B295" s="6" t="s">
        <v>19</v>
      </c>
      <c r="C295" s="6" t="s">
        <v>19</v>
      </c>
      <c r="D295" s="6" t="s">
        <v>19</v>
      </c>
      <c r="E295" s="6" t="s">
        <v>19</v>
      </c>
      <c r="F295" s="6" t="s">
        <v>19</v>
      </c>
      <c r="G295" s="6" t="s">
        <v>19</v>
      </c>
      <c r="J295" s="6"/>
    </row>
    <row r="296">
      <c r="A296" s="4"/>
      <c r="B296" s="6" t="s">
        <v>19</v>
      </c>
      <c r="C296" s="6" t="s">
        <v>19</v>
      </c>
      <c r="D296" s="6" t="s">
        <v>19</v>
      </c>
      <c r="E296" s="6" t="s">
        <v>19</v>
      </c>
      <c r="F296" s="6" t="s">
        <v>19</v>
      </c>
      <c r="G296" s="6" t="s">
        <v>19</v>
      </c>
      <c r="J296" s="6"/>
    </row>
    <row r="297">
      <c r="A297" s="4"/>
      <c r="B297" s="6" t="s">
        <v>19</v>
      </c>
      <c r="C297" s="6" t="s">
        <v>19</v>
      </c>
      <c r="D297" s="6" t="s">
        <v>19</v>
      </c>
      <c r="E297" s="6" t="s">
        <v>19</v>
      </c>
      <c r="F297" s="6" t="s">
        <v>19</v>
      </c>
      <c r="G297" s="6" t="s">
        <v>19</v>
      </c>
      <c r="J297" s="6"/>
    </row>
    <row r="298">
      <c r="B298" s="6" t="s">
        <v>19</v>
      </c>
      <c r="C298" s="6" t="s">
        <v>19</v>
      </c>
      <c r="D298" s="6" t="s">
        <v>19</v>
      </c>
      <c r="E298" s="6" t="s">
        <v>19</v>
      </c>
      <c r="F298" s="6" t="s">
        <v>19</v>
      </c>
      <c r="G298" s="6" t="s">
        <v>19</v>
      </c>
      <c r="J298" s="6"/>
    </row>
    <row r="299">
      <c r="B299" s="6"/>
      <c r="C299" s="6"/>
      <c r="D299" s="6"/>
      <c r="E299" s="6"/>
      <c r="F299" s="6"/>
      <c r="G299" s="6"/>
      <c r="J299" s="6"/>
    </row>
    <row r="300">
      <c r="B300" s="6"/>
      <c r="C300" s="6"/>
      <c r="D300" s="6"/>
      <c r="E300" s="6"/>
      <c r="F300" s="6"/>
      <c r="G300" s="6"/>
      <c r="J300" s="6"/>
    </row>
    <row r="301">
      <c r="B301" s="6"/>
      <c r="C301" s="6"/>
      <c r="D301" s="6"/>
      <c r="E301" s="6"/>
      <c r="F301" s="6"/>
      <c r="G301" s="6"/>
      <c r="J301" s="6"/>
    </row>
    <row r="302">
      <c r="B302" s="6"/>
      <c r="C302" s="6"/>
      <c r="D302" s="6"/>
      <c r="E302" s="6"/>
      <c r="F302" s="6"/>
      <c r="G302" s="6"/>
      <c r="J302" s="6"/>
    </row>
    <row r="303">
      <c r="B303" s="6"/>
      <c r="C303" s="6"/>
      <c r="D303" s="6"/>
      <c r="E303" s="6"/>
      <c r="F303" s="6"/>
      <c r="G303" s="6"/>
      <c r="J303" s="6"/>
    </row>
    <row r="304">
      <c r="B304" s="6"/>
      <c r="C304" s="6"/>
      <c r="D304" s="6"/>
      <c r="E304" s="6"/>
      <c r="F304" s="6"/>
      <c r="G304" s="6"/>
      <c r="J304" s="6"/>
    </row>
    <row r="305">
      <c r="B305" s="6"/>
      <c r="C305" s="6"/>
      <c r="D305" s="6"/>
      <c r="E305" s="6"/>
      <c r="F305" s="6"/>
      <c r="G305" s="6"/>
      <c r="J305" s="6"/>
    </row>
    <row r="306">
      <c r="B306" s="6"/>
      <c r="C306" s="6"/>
      <c r="D306" s="6"/>
      <c r="E306" s="6"/>
      <c r="F306" s="6"/>
      <c r="G306" s="6"/>
      <c r="J306" s="6"/>
    </row>
    <row r="307">
      <c r="B307" s="6"/>
      <c r="C307" s="6"/>
      <c r="D307" s="6"/>
      <c r="E307" s="6"/>
      <c r="F307" s="6"/>
      <c r="G307" s="6"/>
      <c r="J307" s="6"/>
    </row>
    <row r="308">
      <c r="B308" s="6"/>
      <c r="C308" s="6"/>
      <c r="D308" s="6"/>
      <c r="E308" s="6"/>
      <c r="F308" s="6"/>
      <c r="G308" s="6"/>
      <c r="J308" s="6"/>
    </row>
    <row r="309">
      <c r="B309" s="6"/>
      <c r="C309" s="6"/>
      <c r="D309" s="6"/>
      <c r="E309" s="6"/>
      <c r="F309" s="6"/>
      <c r="G309" s="6"/>
      <c r="J309" s="6"/>
    </row>
    <row r="310">
      <c r="B310" s="6"/>
      <c r="C310" s="6"/>
      <c r="D310" s="6"/>
      <c r="E310" s="6"/>
      <c r="F310" s="6"/>
      <c r="G310" s="6"/>
      <c r="J310" s="6"/>
    </row>
    <row r="311">
      <c r="B311" s="6"/>
      <c r="C311" s="6"/>
      <c r="D311" s="6"/>
      <c r="E311" s="6"/>
      <c r="F311" s="6"/>
      <c r="G311" s="6"/>
      <c r="J311" s="6"/>
    </row>
    <row r="312">
      <c r="B312" s="6"/>
      <c r="C312" s="6"/>
      <c r="D312" s="6"/>
      <c r="E312" s="6"/>
      <c r="F312" s="6"/>
      <c r="G312" s="6"/>
      <c r="J312" s="6"/>
    </row>
    <row r="313">
      <c r="B313" s="6"/>
      <c r="C313" s="6"/>
      <c r="D313" s="6"/>
      <c r="E313" s="6"/>
      <c r="F313" s="6"/>
      <c r="G313" s="6"/>
      <c r="J313" s="6"/>
    </row>
    <row r="314">
      <c r="B314" s="6"/>
      <c r="C314" s="6"/>
      <c r="D314" s="6"/>
      <c r="E314" s="6"/>
      <c r="F314" s="6"/>
      <c r="G314" s="6"/>
      <c r="J314" s="6"/>
    </row>
    <row r="315">
      <c r="B315" s="6"/>
      <c r="C315" s="6"/>
      <c r="D315" s="6"/>
      <c r="E315" s="6"/>
      <c r="F315" s="6"/>
      <c r="G315" s="6"/>
      <c r="J315" s="6"/>
    </row>
    <row r="316">
      <c r="B316" s="6"/>
      <c r="C316" s="6"/>
      <c r="D316" s="6"/>
      <c r="E316" s="6"/>
      <c r="F316" s="6"/>
      <c r="G316" s="6"/>
      <c r="J316" s="6"/>
    </row>
    <row r="317">
      <c r="B317" s="6"/>
      <c r="C317" s="6"/>
      <c r="D317" s="6"/>
      <c r="E317" s="6"/>
      <c r="F317" s="6"/>
      <c r="G317" s="6"/>
      <c r="J317" s="6"/>
    </row>
    <row r="318">
      <c r="B318" s="6"/>
      <c r="C318" s="6"/>
      <c r="D318" s="6"/>
      <c r="E318" s="6"/>
      <c r="F318" s="6"/>
      <c r="G318" s="6"/>
      <c r="J318" s="6"/>
    </row>
    <row r="319">
      <c r="B319" s="6"/>
      <c r="C319" s="6"/>
      <c r="D319" s="6"/>
      <c r="E319" s="6"/>
      <c r="F319" s="6"/>
      <c r="G319" s="6"/>
      <c r="J319" s="6"/>
    </row>
    <row r="320">
      <c r="B320" s="6"/>
      <c r="C320" s="6"/>
      <c r="D320" s="6"/>
      <c r="E320" s="6"/>
      <c r="F320" s="6"/>
      <c r="G320" s="6"/>
      <c r="J320" s="6"/>
    </row>
    <row r="321">
      <c r="B321" s="6"/>
      <c r="C321" s="6"/>
      <c r="D321" s="6"/>
      <c r="E321" s="6"/>
      <c r="F321" s="6"/>
      <c r="G321" s="6"/>
      <c r="J321" s="6"/>
    </row>
    <row r="322">
      <c r="B322" s="6"/>
      <c r="C322" s="6"/>
      <c r="D322" s="6"/>
      <c r="E322" s="6"/>
      <c r="F322" s="6"/>
      <c r="G322" s="6"/>
      <c r="J322" s="6"/>
    </row>
    <row r="323">
      <c r="B323" s="6"/>
      <c r="C323" s="6"/>
      <c r="D323" s="6"/>
      <c r="E323" s="6"/>
      <c r="F323" s="6"/>
      <c r="G323" s="6"/>
      <c r="J323" s="6"/>
    </row>
    <row r="324">
      <c r="B324" s="6"/>
      <c r="C324" s="6"/>
      <c r="D324" s="6"/>
      <c r="E324" s="6"/>
      <c r="F324" s="6"/>
      <c r="G324" s="6"/>
      <c r="J324" s="6"/>
    </row>
    <row r="325">
      <c r="B325" s="6"/>
      <c r="C325" s="6"/>
      <c r="D325" s="6"/>
      <c r="E325" s="6"/>
      <c r="F325" s="6"/>
      <c r="G325" s="6"/>
      <c r="J325" s="6"/>
    </row>
    <row r="326">
      <c r="B326" s="6"/>
      <c r="C326" s="6"/>
      <c r="D326" s="6"/>
      <c r="E326" s="6"/>
      <c r="F326" s="6"/>
      <c r="G326" s="6"/>
      <c r="J326" s="6"/>
    </row>
    <row r="327">
      <c r="B327" s="6"/>
      <c r="C327" s="6"/>
      <c r="D327" s="6"/>
      <c r="E327" s="6"/>
      <c r="F327" s="6"/>
      <c r="G327" s="6"/>
      <c r="J327" s="6"/>
    </row>
    <row r="328">
      <c r="B328" s="6"/>
      <c r="C328" s="6"/>
      <c r="D328" s="6"/>
      <c r="E328" s="6"/>
      <c r="F328" s="6"/>
      <c r="G328" s="6"/>
      <c r="J328" s="6"/>
    </row>
    <row r="329">
      <c r="B329" s="6"/>
      <c r="C329" s="6"/>
      <c r="D329" s="6"/>
      <c r="E329" s="6"/>
      <c r="F329" s="6"/>
      <c r="G329" s="6"/>
      <c r="J329" s="6"/>
    </row>
    <row r="330">
      <c r="B330" s="6"/>
      <c r="C330" s="6"/>
      <c r="D330" s="6"/>
      <c r="E330" s="6"/>
      <c r="F330" s="6"/>
      <c r="G330" s="6"/>
      <c r="J330" s="6"/>
    </row>
    <row r="331">
      <c r="B331" s="6"/>
      <c r="C331" s="6"/>
      <c r="D331" s="6"/>
      <c r="E331" s="6"/>
      <c r="F331" s="6"/>
      <c r="G331" s="6"/>
      <c r="J331" s="6"/>
    </row>
    <row r="332">
      <c r="B332" s="6"/>
      <c r="C332" s="6"/>
      <c r="D332" s="6"/>
      <c r="E332" s="6"/>
      <c r="F332" s="6"/>
      <c r="G332" s="6"/>
      <c r="J332" s="6"/>
    </row>
    <row r="333">
      <c r="B333" s="6"/>
      <c r="C333" s="6"/>
      <c r="D333" s="6"/>
      <c r="E333" s="6"/>
      <c r="F333" s="6"/>
      <c r="G333" s="6"/>
      <c r="J333" s="6"/>
    </row>
    <row r="334">
      <c r="B334" s="6"/>
      <c r="C334" s="6"/>
      <c r="D334" s="6"/>
      <c r="E334" s="6"/>
      <c r="F334" s="6"/>
      <c r="G334" s="6"/>
      <c r="J334" s="6"/>
    </row>
    <row r="335">
      <c r="B335" s="6"/>
      <c r="C335" s="6"/>
      <c r="D335" s="6"/>
      <c r="E335" s="6"/>
      <c r="F335" s="6"/>
      <c r="G335" s="6"/>
      <c r="J335" s="6"/>
    </row>
    <row r="336">
      <c r="B336" s="6"/>
      <c r="C336" s="6"/>
      <c r="D336" s="6"/>
      <c r="E336" s="6"/>
      <c r="F336" s="6"/>
      <c r="G336" s="6"/>
      <c r="J336" s="6"/>
    </row>
    <row r="337">
      <c r="B337" s="6"/>
      <c r="C337" s="6"/>
      <c r="D337" s="6"/>
      <c r="E337" s="6"/>
      <c r="F337" s="6"/>
      <c r="G337" s="6"/>
      <c r="J337" s="6"/>
    </row>
    <row r="338">
      <c r="B338" s="6"/>
      <c r="C338" s="6"/>
      <c r="D338" s="6"/>
      <c r="E338" s="6"/>
      <c r="F338" s="6"/>
      <c r="G338" s="6"/>
      <c r="J338" s="6"/>
    </row>
    <row r="339">
      <c r="B339" s="6"/>
      <c r="C339" s="6"/>
      <c r="D339" s="6"/>
      <c r="E339" s="6"/>
      <c r="F339" s="6"/>
      <c r="G339" s="6"/>
      <c r="J339" s="6"/>
    </row>
    <row r="340">
      <c r="B340" s="6"/>
      <c r="C340" s="6"/>
      <c r="D340" s="6"/>
      <c r="E340" s="6"/>
      <c r="F340" s="6"/>
      <c r="G340" s="6"/>
      <c r="J340" s="6"/>
    </row>
    <row r="341">
      <c r="B341" s="6"/>
      <c r="C341" s="6"/>
      <c r="D341" s="6"/>
      <c r="E341" s="6"/>
      <c r="F341" s="6"/>
      <c r="G341" s="6"/>
      <c r="J341" s="6"/>
    </row>
    <row r="342">
      <c r="B342" s="6"/>
      <c r="C342" s="6"/>
      <c r="D342" s="6"/>
      <c r="E342" s="6"/>
      <c r="F342" s="6"/>
      <c r="G342" s="6"/>
      <c r="J342" s="6"/>
    </row>
    <row r="343">
      <c r="B343" s="6"/>
      <c r="C343" s="6"/>
      <c r="D343" s="6"/>
      <c r="E343" s="6"/>
      <c r="F343" s="6"/>
      <c r="G343" s="6"/>
      <c r="J343" s="6"/>
    </row>
    <row r="344">
      <c r="B344" s="6"/>
      <c r="C344" s="6"/>
      <c r="D344" s="6"/>
      <c r="E344" s="6"/>
      <c r="F344" s="6"/>
      <c r="G344" s="6"/>
      <c r="J344" s="6"/>
    </row>
    <row r="345">
      <c r="B345" s="6"/>
      <c r="C345" s="6"/>
      <c r="D345" s="6"/>
      <c r="E345" s="6"/>
      <c r="F345" s="6"/>
      <c r="G345" s="6"/>
      <c r="J345" s="6"/>
    </row>
    <row r="346">
      <c r="B346" s="6"/>
      <c r="C346" s="6"/>
      <c r="D346" s="6"/>
      <c r="E346" s="6"/>
      <c r="F346" s="6"/>
      <c r="G346" s="6"/>
      <c r="J346" s="6"/>
    </row>
    <row r="347">
      <c r="B347" s="6"/>
      <c r="C347" s="6"/>
      <c r="D347" s="6"/>
      <c r="E347" s="6"/>
      <c r="F347" s="6"/>
      <c r="G347" s="6"/>
      <c r="J347" s="6"/>
    </row>
    <row r="348">
      <c r="B348" s="6"/>
      <c r="C348" s="6"/>
      <c r="D348" s="6"/>
      <c r="E348" s="6"/>
      <c r="F348" s="6"/>
      <c r="G348" s="6"/>
      <c r="J348" s="6"/>
    </row>
    <row r="349">
      <c r="B349" s="6"/>
      <c r="C349" s="6"/>
      <c r="D349" s="6"/>
      <c r="E349" s="6"/>
      <c r="F349" s="6"/>
      <c r="G349" s="6"/>
      <c r="J349" s="6"/>
    </row>
    <row r="350">
      <c r="B350" s="6"/>
      <c r="C350" s="6"/>
      <c r="D350" s="6"/>
      <c r="E350" s="6"/>
      <c r="F350" s="6"/>
      <c r="G350" s="6"/>
      <c r="J350" s="6"/>
    </row>
    <row r="351">
      <c r="B351" s="6"/>
      <c r="C351" s="6"/>
      <c r="D351" s="6"/>
      <c r="E351" s="6"/>
      <c r="F351" s="6"/>
      <c r="G351" s="6"/>
      <c r="J351" s="6"/>
    </row>
    <row r="352">
      <c r="B352" s="6"/>
      <c r="C352" s="6"/>
      <c r="D352" s="6"/>
      <c r="E352" s="6"/>
      <c r="F352" s="6"/>
      <c r="G352" s="6"/>
      <c r="J352" s="6"/>
    </row>
    <row r="353">
      <c r="B353" s="6"/>
      <c r="C353" s="6"/>
      <c r="D353" s="6"/>
      <c r="E353" s="6"/>
      <c r="F353" s="6"/>
      <c r="G353" s="6"/>
      <c r="J353" s="6"/>
    </row>
    <row r="354">
      <c r="B354" s="6"/>
      <c r="C354" s="6"/>
      <c r="D354" s="6"/>
      <c r="E354" s="6"/>
      <c r="F354" s="6"/>
      <c r="G354" s="6"/>
      <c r="J354" s="6"/>
    </row>
    <row r="355">
      <c r="B355" s="6"/>
      <c r="C355" s="6"/>
      <c r="D355" s="6"/>
      <c r="E355" s="6"/>
      <c r="F355" s="6"/>
      <c r="G355" s="6"/>
      <c r="J355" s="6"/>
    </row>
    <row r="356">
      <c r="B356" s="6"/>
      <c r="C356" s="6"/>
      <c r="D356" s="6"/>
      <c r="E356" s="6"/>
      <c r="F356" s="6"/>
      <c r="G356" s="6"/>
      <c r="J356" s="6"/>
    </row>
    <row r="357">
      <c r="B357" s="6"/>
      <c r="C357" s="6"/>
      <c r="D357" s="6"/>
      <c r="E357" s="6"/>
      <c r="F357" s="6"/>
      <c r="G357" s="6"/>
      <c r="J357" s="6"/>
    </row>
    <row r="358">
      <c r="B358" s="6"/>
      <c r="C358" s="6"/>
      <c r="D358" s="6"/>
      <c r="E358" s="6"/>
      <c r="F358" s="6"/>
      <c r="G358" s="6"/>
      <c r="J358" s="6"/>
    </row>
    <row r="359">
      <c r="B359" s="6"/>
      <c r="C359" s="6"/>
      <c r="D359" s="6"/>
      <c r="E359" s="6"/>
      <c r="F359" s="6"/>
      <c r="G359" s="6"/>
      <c r="J359" s="6"/>
    </row>
    <row r="360">
      <c r="B360" s="6"/>
      <c r="C360" s="6"/>
      <c r="D360" s="6"/>
      <c r="E360" s="6"/>
      <c r="F360" s="6"/>
      <c r="G360" s="6"/>
      <c r="J360" s="6"/>
    </row>
    <row r="361">
      <c r="B361" s="6"/>
      <c r="C361" s="6"/>
      <c r="D361" s="6"/>
      <c r="E361" s="6"/>
      <c r="F361" s="6"/>
      <c r="G361" s="6"/>
      <c r="J361" s="6"/>
    </row>
    <row r="362">
      <c r="B362" s="6"/>
      <c r="C362" s="6"/>
      <c r="D362" s="6"/>
      <c r="E362" s="6"/>
      <c r="F362" s="6"/>
      <c r="G362" s="6"/>
      <c r="J362" s="6"/>
    </row>
    <row r="363">
      <c r="B363" s="6"/>
      <c r="C363" s="6"/>
      <c r="D363" s="6"/>
      <c r="E363" s="6"/>
      <c r="F363" s="6"/>
      <c r="G363" s="6"/>
      <c r="J363" s="6"/>
    </row>
    <row r="364">
      <c r="B364" s="6"/>
      <c r="C364" s="6"/>
      <c r="D364" s="6"/>
      <c r="E364" s="6"/>
      <c r="F364" s="6"/>
      <c r="G364" s="6"/>
      <c r="J364" s="6"/>
    </row>
    <row r="365">
      <c r="B365" s="6"/>
      <c r="C365" s="6"/>
      <c r="D365" s="6"/>
      <c r="E365" s="6"/>
      <c r="F365" s="6"/>
      <c r="G365" s="6"/>
      <c r="J365" s="6"/>
    </row>
    <row r="366">
      <c r="B366" s="6"/>
      <c r="C366" s="6"/>
      <c r="D366" s="6"/>
      <c r="E366" s="6"/>
      <c r="F366" s="6"/>
      <c r="G366" s="6"/>
      <c r="J366" s="6"/>
    </row>
    <row r="367">
      <c r="B367" s="6"/>
      <c r="C367" s="6"/>
      <c r="D367" s="6"/>
      <c r="E367" s="6"/>
      <c r="F367" s="6"/>
      <c r="G367" s="6"/>
      <c r="J367" s="6"/>
    </row>
    <row r="368">
      <c r="B368" s="6"/>
      <c r="C368" s="6"/>
      <c r="D368" s="6"/>
      <c r="E368" s="6"/>
      <c r="F368" s="6"/>
      <c r="G368" s="6"/>
      <c r="J368" s="6"/>
    </row>
    <row r="369">
      <c r="B369" s="6"/>
      <c r="C369" s="6"/>
      <c r="D369" s="6"/>
      <c r="E369" s="6"/>
      <c r="F369" s="6"/>
      <c r="G369" s="6"/>
      <c r="J369" s="6"/>
    </row>
    <row r="370">
      <c r="B370" s="6"/>
      <c r="C370" s="6"/>
      <c r="D370" s="6"/>
      <c r="E370" s="6"/>
      <c r="F370" s="6"/>
      <c r="G370" s="6"/>
      <c r="J370" s="6"/>
    </row>
    <row r="371">
      <c r="B371" s="6"/>
      <c r="C371" s="6"/>
      <c r="D371" s="6"/>
      <c r="E371" s="6"/>
      <c r="F371" s="6"/>
      <c r="G371" s="6"/>
      <c r="J371" s="6"/>
    </row>
    <row r="372">
      <c r="B372" s="6"/>
      <c r="C372" s="6"/>
      <c r="D372" s="6"/>
      <c r="E372" s="6"/>
      <c r="F372" s="6"/>
      <c r="G372" s="6"/>
      <c r="J372" s="6"/>
    </row>
    <row r="373">
      <c r="B373" s="6"/>
      <c r="C373" s="6"/>
      <c r="D373" s="6"/>
      <c r="E373" s="6"/>
      <c r="F373" s="6"/>
      <c r="G373" s="6"/>
      <c r="J373" s="6"/>
    </row>
    <row r="374">
      <c r="B374" s="6"/>
      <c r="C374" s="6"/>
      <c r="D374" s="6"/>
      <c r="E374" s="6"/>
      <c r="F374" s="6"/>
      <c r="G374" s="6"/>
      <c r="J374" s="6"/>
    </row>
    <row r="375">
      <c r="B375" s="6"/>
      <c r="C375" s="6"/>
      <c r="D375" s="6"/>
      <c r="E375" s="6"/>
      <c r="F375" s="6"/>
      <c r="G375" s="6"/>
      <c r="J375" s="6"/>
    </row>
    <row r="376">
      <c r="B376" s="6"/>
      <c r="C376" s="6"/>
      <c r="D376" s="6"/>
      <c r="E376" s="6"/>
      <c r="F376" s="6"/>
      <c r="G376" s="6"/>
      <c r="J376" s="6"/>
    </row>
    <row r="377">
      <c r="B377" s="6"/>
      <c r="C377" s="6"/>
      <c r="D377" s="6"/>
      <c r="E377" s="6"/>
      <c r="F377" s="6"/>
      <c r="G377" s="6"/>
      <c r="J377" s="6"/>
    </row>
    <row r="378">
      <c r="B378" s="6"/>
      <c r="C378" s="6"/>
      <c r="D378" s="6"/>
      <c r="E378" s="6"/>
      <c r="F378" s="6"/>
      <c r="G378" s="6"/>
      <c r="J378" s="6"/>
    </row>
    <row r="379">
      <c r="B379" s="6"/>
      <c r="C379" s="6"/>
      <c r="D379" s="6"/>
      <c r="E379" s="6"/>
      <c r="F379" s="6"/>
      <c r="G379" s="6"/>
      <c r="J379" s="6"/>
    </row>
    <row r="380">
      <c r="B380" s="6"/>
      <c r="C380" s="6"/>
      <c r="D380" s="6"/>
      <c r="E380" s="6"/>
      <c r="F380" s="6"/>
      <c r="G380" s="6"/>
      <c r="J380" s="6"/>
    </row>
    <row r="381">
      <c r="B381" s="6"/>
      <c r="C381" s="6"/>
      <c r="D381" s="6"/>
      <c r="E381" s="6"/>
      <c r="F381" s="6"/>
      <c r="G381" s="6"/>
      <c r="J381" s="6"/>
    </row>
    <row r="382">
      <c r="B382" s="6"/>
      <c r="C382" s="6"/>
      <c r="D382" s="6"/>
      <c r="E382" s="6"/>
      <c r="F382" s="6"/>
      <c r="G382" s="6"/>
      <c r="J382" s="6"/>
    </row>
    <row r="383">
      <c r="B383" s="6"/>
      <c r="C383" s="6"/>
      <c r="D383" s="6"/>
      <c r="E383" s="6"/>
      <c r="F383" s="6"/>
      <c r="G383" s="6"/>
      <c r="J383" s="6"/>
    </row>
    <row r="384">
      <c r="B384" s="6"/>
      <c r="C384" s="6"/>
      <c r="D384" s="6"/>
      <c r="E384" s="6"/>
      <c r="F384" s="6"/>
      <c r="G384" s="6"/>
      <c r="J384" s="6"/>
    </row>
    <row r="385">
      <c r="B385" s="6"/>
      <c r="C385" s="6"/>
      <c r="D385" s="6"/>
      <c r="E385" s="6"/>
      <c r="F385" s="6"/>
      <c r="G385" s="6"/>
      <c r="J385" s="6"/>
    </row>
    <row r="386">
      <c r="B386" s="6"/>
      <c r="C386" s="6"/>
      <c r="D386" s="6"/>
      <c r="E386" s="6"/>
      <c r="F386" s="6"/>
      <c r="G386" s="6"/>
      <c r="J386" s="6"/>
    </row>
    <row r="387">
      <c r="B387" s="6"/>
      <c r="C387" s="6"/>
      <c r="D387" s="6"/>
      <c r="E387" s="6"/>
      <c r="F387" s="6"/>
      <c r="G387" s="6"/>
      <c r="J387" s="6"/>
    </row>
    <row r="388">
      <c r="B388" s="6"/>
      <c r="C388" s="6"/>
      <c r="D388" s="6"/>
      <c r="E388" s="6"/>
      <c r="F388" s="6"/>
      <c r="G388" s="6"/>
      <c r="J388" s="6"/>
    </row>
    <row r="389">
      <c r="B389" s="6"/>
      <c r="C389" s="6"/>
      <c r="D389" s="6"/>
      <c r="E389" s="6"/>
      <c r="F389" s="6"/>
      <c r="G389" s="6"/>
      <c r="J389" s="6"/>
    </row>
    <row r="390">
      <c r="B390" s="6"/>
      <c r="C390" s="6"/>
      <c r="D390" s="6"/>
      <c r="E390" s="6"/>
      <c r="F390" s="6"/>
      <c r="G390" s="6"/>
      <c r="J390" s="6"/>
    </row>
    <row r="391">
      <c r="B391" s="6"/>
      <c r="C391" s="6"/>
      <c r="D391" s="6"/>
      <c r="E391" s="6"/>
      <c r="F391" s="6"/>
      <c r="G391" s="6"/>
      <c r="J391" s="6"/>
    </row>
    <row r="392">
      <c r="B392" s="6"/>
      <c r="C392" s="6"/>
      <c r="D392" s="6"/>
      <c r="E392" s="6"/>
      <c r="F392" s="6"/>
      <c r="G392" s="6"/>
      <c r="J392" s="6"/>
    </row>
    <row r="393">
      <c r="B393" s="6"/>
      <c r="C393" s="6"/>
      <c r="D393" s="6"/>
      <c r="E393" s="6"/>
      <c r="F393" s="6"/>
      <c r="G393" s="6"/>
      <c r="J393" s="6"/>
    </row>
    <row r="394">
      <c r="B394" s="6"/>
      <c r="C394" s="6"/>
      <c r="D394" s="6"/>
      <c r="E394" s="6"/>
      <c r="F394" s="6"/>
      <c r="G394" s="6"/>
      <c r="J394" s="6"/>
    </row>
    <row r="395">
      <c r="B395" s="6"/>
      <c r="C395" s="6"/>
      <c r="D395" s="6"/>
      <c r="E395" s="6"/>
      <c r="F395" s="6"/>
      <c r="G395" s="6"/>
      <c r="J395" s="6"/>
    </row>
    <row r="396">
      <c r="B396" s="6"/>
      <c r="C396" s="6"/>
      <c r="D396" s="6"/>
      <c r="E396" s="6"/>
      <c r="F396" s="6"/>
      <c r="G396" s="6"/>
      <c r="J396" s="6"/>
    </row>
    <row r="397">
      <c r="B397" s="6"/>
      <c r="C397" s="6"/>
      <c r="D397" s="6"/>
      <c r="E397" s="6"/>
      <c r="F397" s="6"/>
      <c r="G397" s="6"/>
      <c r="J397" s="6"/>
    </row>
    <row r="398">
      <c r="B398" s="6"/>
      <c r="C398" s="6"/>
      <c r="D398" s="6"/>
      <c r="E398" s="6"/>
      <c r="F398" s="6"/>
      <c r="G398" s="6"/>
      <c r="J398" s="6"/>
    </row>
    <row r="399">
      <c r="B399" s="6"/>
      <c r="C399" s="6"/>
      <c r="D399" s="6"/>
      <c r="E399" s="6"/>
      <c r="F399" s="6"/>
      <c r="G399" s="6"/>
      <c r="J399" s="6"/>
    </row>
    <row r="400">
      <c r="B400" s="6"/>
      <c r="C400" s="6"/>
      <c r="D400" s="6"/>
      <c r="E400" s="6"/>
      <c r="F400" s="6"/>
      <c r="G400" s="6"/>
      <c r="J400" s="6"/>
    </row>
    <row r="401">
      <c r="B401" s="6"/>
      <c r="C401" s="6"/>
      <c r="D401" s="6"/>
      <c r="E401" s="6"/>
      <c r="F401" s="6"/>
      <c r="G401" s="6"/>
      <c r="J401" s="6"/>
    </row>
    <row r="402">
      <c r="B402" s="6"/>
      <c r="C402" s="6"/>
      <c r="D402" s="6"/>
      <c r="E402" s="6"/>
      <c r="F402" s="6"/>
      <c r="G402" s="6"/>
      <c r="J402" s="6"/>
    </row>
    <row r="403">
      <c r="B403" s="6"/>
      <c r="C403" s="6"/>
      <c r="D403" s="6"/>
      <c r="E403" s="6"/>
      <c r="F403" s="6"/>
      <c r="G403" s="6"/>
      <c r="J403" s="6"/>
    </row>
    <row r="404">
      <c r="B404" s="6"/>
      <c r="C404" s="6"/>
      <c r="D404" s="6"/>
      <c r="E404" s="6"/>
      <c r="F404" s="6"/>
      <c r="G404" s="6"/>
      <c r="J404" s="6"/>
    </row>
    <row r="405">
      <c r="B405" s="6"/>
      <c r="C405" s="6"/>
      <c r="D405" s="6"/>
      <c r="E405" s="6"/>
      <c r="F405" s="6"/>
      <c r="G405" s="6"/>
      <c r="J405" s="6"/>
    </row>
    <row r="406">
      <c r="B406" s="6"/>
      <c r="C406" s="6"/>
      <c r="D406" s="6"/>
      <c r="E406" s="6"/>
      <c r="F406" s="6"/>
      <c r="G406" s="6"/>
      <c r="J406" s="6"/>
    </row>
    <row r="407">
      <c r="B407" s="6"/>
      <c r="C407" s="6"/>
      <c r="D407" s="6"/>
      <c r="E407" s="6"/>
      <c r="F407" s="6"/>
      <c r="G407" s="6"/>
      <c r="J407" s="6"/>
    </row>
    <row r="408">
      <c r="B408" s="6"/>
      <c r="C408" s="6"/>
      <c r="D408" s="6"/>
      <c r="E408" s="6"/>
      <c r="F408" s="6"/>
      <c r="G408" s="6"/>
      <c r="J408" s="6"/>
    </row>
    <row r="409">
      <c r="B409" s="6"/>
      <c r="C409" s="6"/>
      <c r="D409" s="6"/>
      <c r="E409" s="6"/>
      <c r="F409" s="6"/>
      <c r="G409" s="6"/>
      <c r="J409" s="6"/>
    </row>
    <row r="410">
      <c r="B410" s="6"/>
      <c r="C410" s="6"/>
      <c r="D410" s="6"/>
      <c r="E410" s="6"/>
      <c r="F410" s="6"/>
      <c r="G410" s="6"/>
      <c r="J410" s="6"/>
    </row>
    <row r="411">
      <c r="B411" s="6"/>
      <c r="C411" s="6"/>
      <c r="D411" s="6"/>
      <c r="E411" s="6"/>
      <c r="F411" s="6"/>
      <c r="G411" s="6"/>
      <c r="J411" s="6"/>
    </row>
    <row r="412">
      <c r="B412" s="6"/>
      <c r="C412" s="6"/>
      <c r="D412" s="6"/>
      <c r="E412" s="6"/>
      <c r="F412" s="6"/>
      <c r="G412" s="6"/>
      <c r="J412" s="6"/>
    </row>
    <row r="413">
      <c r="B413" s="6"/>
      <c r="C413" s="6"/>
      <c r="D413" s="6"/>
      <c r="E413" s="6"/>
      <c r="F413" s="6"/>
      <c r="G413" s="6"/>
      <c r="J413" s="6"/>
    </row>
    <row r="414">
      <c r="B414" s="6"/>
      <c r="C414" s="6"/>
      <c r="D414" s="6"/>
      <c r="E414" s="6"/>
      <c r="F414" s="6"/>
      <c r="G414" s="6"/>
      <c r="J414" s="6"/>
    </row>
    <row r="415">
      <c r="B415" s="6"/>
      <c r="C415" s="6"/>
      <c r="D415" s="6"/>
      <c r="E415" s="6"/>
      <c r="F415" s="6"/>
      <c r="G415" s="6"/>
      <c r="J415" s="6"/>
    </row>
    <row r="416">
      <c r="B416" s="6"/>
      <c r="C416" s="6"/>
      <c r="D416" s="6"/>
      <c r="E416" s="6"/>
      <c r="F416" s="6"/>
      <c r="G416" s="6"/>
      <c r="J416" s="6"/>
    </row>
    <row r="417">
      <c r="B417" s="6"/>
      <c r="C417" s="6"/>
      <c r="D417" s="6"/>
      <c r="E417" s="6"/>
      <c r="F417" s="6"/>
      <c r="G417" s="6"/>
      <c r="J417" s="6"/>
    </row>
    <row r="418">
      <c r="B418" s="6"/>
      <c r="C418" s="6"/>
      <c r="D418" s="6"/>
      <c r="E418" s="6"/>
      <c r="F418" s="6"/>
      <c r="G418" s="6"/>
      <c r="J418" s="6"/>
    </row>
    <row r="419">
      <c r="B419" s="6"/>
      <c r="C419" s="6"/>
      <c r="D419" s="6"/>
      <c r="E419" s="6"/>
      <c r="F419" s="6"/>
      <c r="G419" s="6"/>
      <c r="J419" s="6"/>
    </row>
    <row r="420">
      <c r="B420" s="6"/>
      <c r="C420" s="6"/>
      <c r="D420" s="6"/>
      <c r="E420" s="6"/>
      <c r="F420" s="6"/>
      <c r="G420" s="6"/>
      <c r="J420" s="6"/>
    </row>
    <row r="421">
      <c r="B421" s="6"/>
      <c r="C421" s="6"/>
      <c r="D421" s="6"/>
      <c r="E421" s="6"/>
      <c r="F421" s="6"/>
      <c r="G421" s="6"/>
      <c r="J421" s="6"/>
    </row>
    <row r="422">
      <c r="B422" s="6"/>
      <c r="C422" s="6"/>
      <c r="D422" s="6"/>
      <c r="E422" s="6"/>
      <c r="F422" s="6"/>
      <c r="G422" s="6"/>
      <c r="J422" s="6"/>
    </row>
    <row r="423">
      <c r="B423" s="6"/>
      <c r="C423" s="6"/>
      <c r="D423" s="6"/>
      <c r="E423" s="6"/>
      <c r="F423" s="6"/>
      <c r="G423" s="6"/>
      <c r="J423" s="6"/>
    </row>
    <row r="424">
      <c r="B424" s="6"/>
      <c r="C424" s="6"/>
      <c r="D424" s="6"/>
      <c r="E424" s="6"/>
      <c r="F424" s="6"/>
      <c r="G424" s="6"/>
      <c r="J424" s="6"/>
    </row>
    <row r="425">
      <c r="B425" s="6"/>
      <c r="C425" s="6"/>
      <c r="D425" s="6"/>
      <c r="E425" s="6"/>
      <c r="F425" s="6"/>
      <c r="G425" s="6"/>
      <c r="J425" s="6"/>
    </row>
    <row r="426">
      <c r="B426" s="6"/>
      <c r="C426" s="6"/>
      <c r="D426" s="6"/>
      <c r="E426" s="6"/>
      <c r="F426" s="6"/>
      <c r="G426" s="6"/>
      <c r="J426" s="6"/>
    </row>
    <row r="427">
      <c r="B427" s="6"/>
      <c r="C427" s="6"/>
      <c r="D427" s="6"/>
      <c r="E427" s="6"/>
      <c r="F427" s="6"/>
      <c r="G427" s="6"/>
      <c r="J427" s="6"/>
    </row>
    <row r="428">
      <c r="B428" s="6"/>
      <c r="C428" s="6"/>
      <c r="D428" s="6"/>
      <c r="E428" s="6"/>
      <c r="F428" s="6"/>
      <c r="G428" s="6"/>
      <c r="J428" s="6"/>
    </row>
    <row r="429">
      <c r="B429" s="6"/>
      <c r="C429" s="6"/>
      <c r="D429" s="6"/>
      <c r="E429" s="6"/>
      <c r="F429" s="6"/>
      <c r="G429" s="6"/>
      <c r="J429" s="6"/>
    </row>
    <row r="430">
      <c r="B430" s="6"/>
      <c r="C430" s="6"/>
      <c r="D430" s="6"/>
      <c r="E430" s="6"/>
      <c r="F430" s="6"/>
      <c r="G430" s="6"/>
      <c r="J430" s="6"/>
    </row>
    <row r="431">
      <c r="B431" s="6"/>
      <c r="C431" s="6"/>
      <c r="D431" s="6"/>
      <c r="E431" s="6"/>
      <c r="F431" s="6"/>
      <c r="G431" s="6"/>
      <c r="J431" s="6"/>
    </row>
    <row r="432">
      <c r="B432" s="6"/>
      <c r="C432" s="6"/>
      <c r="D432" s="6"/>
      <c r="E432" s="6"/>
      <c r="F432" s="6"/>
      <c r="G432" s="6"/>
      <c r="J432" s="6"/>
    </row>
    <row r="433">
      <c r="B433" s="6"/>
      <c r="C433" s="6"/>
      <c r="D433" s="6"/>
      <c r="E433" s="6"/>
      <c r="F433" s="6"/>
      <c r="G433" s="6"/>
      <c r="J433" s="6"/>
    </row>
    <row r="434">
      <c r="B434" s="6"/>
      <c r="C434" s="6"/>
      <c r="D434" s="6"/>
      <c r="E434" s="6"/>
      <c r="F434" s="6"/>
      <c r="G434" s="6"/>
      <c r="J434" s="6"/>
    </row>
    <row r="435">
      <c r="B435" s="6"/>
      <c r="C435" s="6"/>
      <c r="D435" s="6"/>
      <c r="E435" s="6"/>
      <c r="F435" s="6"/>
      <c r="G435" s="6"/>
      <c r="J435" s="6"/>
    </row>
    <row r="436">
      <c r="B436" s="6"/>
      <c r="C436" s="6"/>
      <c r="D436" s="6"/>
      <c r="E436" s="6"/>
      <c r="F436" s="6"/>
      <c r="G436" s="6"/>
      <c r="J436" s="6"/>
    </row>
    <row r="437">
      <c r="B437" s="6"/>
      <c r="C437" s="6"/>
      <c r="D437" s="6"/>
      <c r="E437" s="6"/>
      <c r="F437" s="6"/>
      <c r="G437" s="6"/>
      <c r="J437" s="6"/>
    </row>
    <row r="438">
      <c r="B438" s="6"/>
      <c r="C438" s="6"/>
      <c r="D438" s="6"/>
      <c r="E438" s="6"/>
      <c r="F438" s="6"/>
      <c r="G438" s="6"/>
      <c r="J438" s="6"/>
    </row>
    <row r="439">
      <c r="B439" s="6"/>
      <c r="C439" s="6"/>
      <c r="D439" s="6"/>
      <c r="E439" s="6"/>
      <c r="F439" s="6"/>
      <c r="G439" s="6"/>
      <c r="J439" s="6"/>
    </row>
    <row r="440">
      <c r="B440" s="6"/>
      <c r="C440" s="6"/>
      <c r="D440" s="6"/>
      <c r="E440" s="6"/>
      <c r="F440" s="6"/>
      <c r="G440" s="6"/>
      <c r="J440" s="6"/>
    </row>
    <row r="441">
      <c r="B441" s="6"/>
      <c r="C441" s="6"/>
      <c r="D441" s="6"/>
      <c r="E441" s="6"/>
      <c r="F441" s="6"/>
      <c r="G441" s="6"/>
      <c r="J441" s="6"/>
    </row>
    <row r="442">
      <c r="B442" s="6"/>
      <c r="C442" s="6"/>
      <c r="D442" s="6"/>
      <c r="E442" s="6"/>
      <c r="F442" s="6"/>
      <c r="G442" s="6"/>
      <c r="J442" s="6"/>
    </row>
    <row r="443">
      <c r="B443" s="6"/>
      <c r="C443" s="6"/>
      <c r="D443" s="6"/>
      <c r="E443" s="6"/>
      <c r="F443" s="6"/>
      <c r="G443" s="6"/>
      <c r="J443" s="6"/>
    </row>
    <row r="444">
      <c r="B444" s="6"/>
      <c r="C444" s="6"/>
      <c r="D444" s="6"/>
      <c r="E444" s="6"/>
      <c r="F444" s="6"/>
      <c r="G444" s="6"/>
      <c r="J444" s="6"/>
    </row>
    <row r="445">
      <c r="B445" s="6"/>
      <c r="C445" s="6"/>
      <c r="D445" s="6"/>
      <c r="E445" s="6"/>
      <c r="F445" s="6"/>
      <c r="G445" s="6"/>
      <c r="J445" s="6"/>
    </row>
    <row r="446">
      <c r="B446" s="6"/>
      <c r="C446" s="6"/>
      <c r="D446" s="6"/>
      <c r="E446" s="6"/>
      <c r="F446" s="6"/>
      <c r="G446" s="6"/>
      <c r="J446" s="6"/>
    </row>
    <row r="447">
      <c r="B447" s="6"/>
      <c r="C447" s="6"/>
      <c r="D447" s="6"/>
      <c r="E447" s="6"/>
      <c r="F447" s="6"/>
      <c r="G447" s="6"/>
      <c r="J447" s="6"/>
    </row>
    <row r="448">
      <c r="B448" s="6"/>
      <c r="C448" s="6"/>
      <c r="D448" s="6"/>
      <c r="E448" s="6"/>
      <c r="F448" s="6"/>
      <c r="G448" s="6"/>
      <c r="J448" s="6"/>
    </row>
    <row r="449">
      <c r="B449" s="6"/>
      <c r="C449" s="6"/>
      <c r="D449" s="6"/>
      <c r="E449" s="6"/>
      <c r="F449" s="6"/>
      <c r="G449" s="6"/>
      <c r="J449" s="6"/>
    </row>
    <row r="450">
      <c r="B450" s="6"/>
      <c r="C450" s="6"/>
      <c r="D450" s="6"/>
      <c r="E450" s="6"/>
      <c r="F450" s="6"/>
      <c r="G450" s="6"/>
      <c r="J450" s="6"/>
    </row>
    <row r="451">
      <c r="B451" s="6"/>
      <c r="C451" s="6"/>
      <c r="D451" s="6"/>
      <c r="E451" s="6"/>
      <c r="F451" s="6"/>
      <c r="G451" s="6"/>
      <c r="J451" s="6"/>
    </row>
    <row r="452">
      <c r="B452" s="6"/>
      <c r="C452" s="6"/>
      <c r="D452" s="6"/>
      <c r="E452" s="6"/>
      <c r="F452" s="6"/>
      <c r="G452" s="6"/>
      <c r="J452" s="6"/>
    </row>
    <row r="453">
      <c r="B453" s="6"/>
      <c r="C453" s="6"/>
      <c r="D453" s="6"/>
      <c r="E453" s="6"/>
      <c r="F453" s="6"/>
      <c r="G453" s="6"/>
      <c r="J453" s="6"/>
    </row>
    <row r="454">
      <c r="B454" s="6"/>
      <c r="C454" s="6"/>
      <c r="D454" s="6"/>
      <c r="E454" s="6"/>
      <c r="F454" s="6"/>
      <c r="G454" s="6"/>
      <c r="J454" s="6"/>
    </row>
    <row r="455">
      <c r="B455" s="6"/>
      <c r="C455" s="6"/>
      <c r="D455" s="6"/>
      <c r="E455" s="6"/>
      <c r="F455" s="6"/>
      <c r="G455" s="6"/>
      <c r="J455" s="6"/>
    </row>
    <row r="456">
      <c r="B456" s="6"/>
      <c r="C456" s="6"/>
      <c r="D456" s="6"/>
      <c r="E456" s="6"/>
      <c r="F456" s="6"/>
      <c r="G456" s="6"/>
      <c r="J456" s="6"/>
    </row>
    <row r="457">
      <c r="B457" s="6"/>
      <c r="C457" s="6"/>
      <c r="D457" s="6"/>
      <c r="E457" s="6"/>
      <c r="F457" s="6"/>
      <c r="G457" s="6"/>
      <c r="J457" s="6"/>
    </row>
    <row r="458">
      <c r="B458" s="6"/>
      <c r="C458" s="6"/>
      <c r="D458" s="6"/>
      <c r="E458" s="6"/>
      <c r="F458" s="6"/>
      <c r="G458" s="6"/>
      <c r="J458" s="6"/>
    </row>
    <row r="459">
      <c r="B459" s="6"/>
      <c r="C459" s="6"/>
      <c r="D459" s="6"/>
      <c r="E459" s="6"/>
      <c r="F459" s="6"/>
      <c r="G459" s="6"/>
      <c r="J459" s="6"/>
    </row>
    <row r="460">
      <c r="B460" s="6"/>
      <c r="C460" s="6"/>
      <c r="D460" s="6"/>
      <c r="E460" s="6"/>
      <c r="F460" s="6"/>
      <c r="G460" s="6"/>
      <c r="J460" s="6"/>
    </row>
    <row r="461">
      <c r="B461" s="6"/>
      <c r="C461" s="6"/>
      <c r="D461" s="6"/>
      <c r="E461" s="6"/>
      <c r="F461" s="6"/>
      <c r="G461" s="6"/>
      <c r="J461" s="6"/>
    </row>
    <row r="462">
      <c r="B462" s="6"/>
      <c r="C462" s="6"/>
      <c r="D462" s="6"/>
      <c r="E462" s="6"/>
      <c r="F462" s="6"/>
      <c r="G462" s="6"/>
      <c r="J462" s="6"/>
    </row>
    <row r="463">
      <c r="B463" s="6"/>
      <c r="C463" s="6"/>
      <c r="D463" s="6"/>
      <c r="E463" s="6"/>
      <c r="F463" s="6"/>
      <c r="G463" s="6"/>
      <c r="J463" s="6"/>
    </row>
    <row r="464">
      <c r="B464" s="6"/>
      <c r="C464" s="6"/>
      <c r="D464" s="6"/>
      <c r="E464" s="6"/>
      <c r="F464" s="6"/>
      <c r="G464" s="6"/>
      <c r="J464" s="6"/>
    </row>
    <row r="465">
      <c r="B465" s="6"/>
      <c r="C465" s="6"/>
      <c r="D465" s="6"/>
      <c r="E465" s="6"/>
      <c r="F465" s="6"/>
      <c r="G465" s="6"/>
      <c r="J465" s="6"/>
    </row>
    <row r="466">
      <c r="B466" s="6"/>
      <c r="C466" s="6"/>
      <c r="D466" s="6"/>
      <c r="E466" s="6"/>
      <c r="F466" s="6"/>
      <c r="G466" s="6"/>
      <c r="J466" s="6"/>
    </row>
    <row r="467">
      <c r="B467" s="6"/>
      <c r="C467" s="6"/>
      <c r="D467" s="6"/>
      <c r="E467" s="6"/>
      <c r="F467" s="6"/>
      <c r="G467" s="6"/>
      <c r="J467" s="6"/>
    </row>
    <row r="468">
      <c r="B468" s="6"/>
      <c r="C468" s="6"/>
      <c r="D468" s="6"/>
      <c r="E468" s="6"/>
      <c r="F468" s="6"/>
      <c r="G468" s="6"/>
      <c r="J468" s="6"/>
    </row>
    <row r="469">
      <c r="B469" s="6"/>
      <c r="C469" s="6"/>
      <c r="D469" s="6"/>
      <c r="E469" s="6"/>
      <c r="F469" s="6"/>
      <c r="G469" s="6"/>
      <c r="J469" s="6"/>
    </row>
    <row r="470">
      <c r="B470" s="6"/>
      <c r="C470" s="6"/>
      <c r="D470" s="6"/>
      <c r="E470" s="6"/>
      <c r="F470" s="6"/>
      <c r="G470" s="6"/>
      <c r="J470" s="6"/>
    </row>
    <row r="471">
      <c r="B471" s="6"/>
      <c r="C471" s="6"/>
      <c r="D471" s="6"/>
      <c r="E471" s="6"/>
      <c r="F471" s="6"/>
      <c r="G471" s="6"/>
      <c r="J471" s="6"/>
    </row>
    <row r="472">
      <c r="B472" s="6"/>
      <c r="C472" s="6"/>
      <c r="D472" s="6"/>
      <c r="E472" s="6"/>
      <c r="F472" s="6"/>
      <c r="G472" s="6"/>
      <c r="J472" s="6"/>
    </row>
    <row r="473">
      <c r="B473" s="6"/>
      <c r="C473" s="6"/>
      <c r="D473" s="6"/>
      <c r="E473" s="6"/>
      <c r="F473" s="6"/>
      <c r="G473" s="6"/>
      <c r="J473" s="6"/>
    </row>
    <row r="474">
      <c r="B474" s="6"/>
      <c r="C474" s="6"/>
      <c r="D474" s="6"/>
      <c r="E474" s="6"/>
      <c r="F474" s="6"/>
      <c r="G474" s="6"/>
      <c r="J474" s="6"/>
    </row>
    <row r="475">
      <c r="B475" s="6"/>
      <c r="C475" s="6"/>
      <c r="D475" s="6"/>
      <c r="E475" s="6"/>
      <c r="F475" s="6"/>
      <c r="G475" s="6"/>
      <c r="J475" s="6"/>
    </row>
    <row r="476">
      <c r="B476" s="6"/>
      <c r="C476" s="6"/>
      <c r="D476" s="6"/>
      <c r="E476" s="6"/>
      <c r="F476" s="6"/>
      <c r="G476" s="6"/>
      <c r="J476" s="6"/>
    </row>
    <row r="477">
      <c r="B477" s="6"/>
      <c r="C477" s="6"/>
      <c r="D477" s="6"/>
      <c r="E477" s="6"/>
      <c r="F477" s="6"/>
      <c r="G477" s="6"/>
      <c r="J477" s="6"/>
    </row>
    <row r="478">
      <c r="B478" s="6"/>
      <c r="C478" s="6"/>
      <c r="D478" s="6"/>
      <c r="E478" s="6"/>
      <c r="F478" s="6"/>
      <c r="G478" s="6"/>
      <c r="J478" s="6"/>
    </row>
    <row r="479">
      <c r="B479" s="6"/>
      <c r="C479" s="6"/>
      <c r="D479" s="6"/>
      <c r="E479" s="6"/>
      <c r="F479" s="6"/>
      <c r="G479" s="6"/>
      <c r="J479" s="6"/>
    </row>
    <row r="480">
      <c r="B480" s="6"/>
      <c r="C480" s="6"/>
      <c r="D480" s="6"/>
      <c r="E480" s="6"/>
      <c r="F480" s="6"/>
      <c r="G480" s="6"/>
      <c r="J480" s="6"/>
    </row>
    <row r="481">
      <c r="B481" s="6"/>
      <c r="C481" s="6"/>
      <c r="D481" s="6"/>
      <c r="E481" s="6"/>
      <c r="F481" s="6"/>
      <c r="G481" s="6"/>
      <c r="J481" s="6"/>
    </row>
    <row r="482">
      <c r="B482" s="6"/>
      <c r="C482" s="6"/>
      <c r="D482" s="6"/>
      <c r="E482" s="6"/>
      <c r="F482" s="6"/>
      <c r="G482" s="6"/>
      <c r="J482" s="6"/>
    </row>
    <row r="483">
      <c r="B483" s="6"/>
      <c r="C483" s="6"/>
      <c r="D483" s="6"/>
      <c r="E483" s="6"/>
      <c r="F483" s="6"/>
      <c r="G483" s="6"/>
      <c r="J483" s="6"/>
    </row>
    <row r="484">
      <c r="B484" s="6"/>
      <c r="C484" s="6"/>
      <c r="D484" s="6"/>
      <c r="E484" s="6"/>
      <c r="F484" s="6"/>
      <c r="G484" s="6"/>
      <c r="J484" s="6"/>
    </row>
    <row r="485">
      <c r="B485" s="6"/>
      <c r="C485" s="6"/>
      <c r="D485" s="6"/>
      <c r="E485" s="6"/>
      <c r="F485" s="6"/>
      <c r="G485" s="6"/>
      <c r="J485" s="6"/>
    </row>
    <row r="486">
      <c r="B486" s="6"/>
      <c r="C486" s="6"/>
      <c r="D486" s="6"/>
      <c r="E486" s="6"/>
      <c r="F486" s="6"/>
      <c r="G486" s="6"/>
      <c r="J486" s="6"/>
    </row>
    <row r="487">
      <c r="B487" s="6"/>
      <c r="C487" s="6"/>
      <c r="D487" s="6"/>
      <c r="E487" s="6"/>
      <c r="F487" s="6"/>
      <c r="G487" s="6"/>
      <c r="J487" s="6"/>
    </row>
    <row r="488">
      <c r="B488" s="6"/>
      <c r="C488" s="6"/>
      <c r="D488" s="6"/>
      <c r="E488" s="6"/>
      <c r="F488" s="6"/>
      <c r="G488" s="6"/>
      <c r="J488" s="6"/>
    </row>
    <row r="489">
      <c r="B489" s="6"/>
      <c r="C489" s="6"/>
      <c r="D489" s="6"/>
      <c r="E489" s="6"/>
      <c r="F489" s="6"/>
      <c r="G489" s="6"/>
      <c r="J489" s="6"/>
    </row>
    <row r="490">
      <c r="B490" s="6"/>
      <c r="C490" s="6"/>
      <c r="D490" s="6"/>
      <c r="E490" s="6"/>
      <c r="F490" s="6"/>
      <c r="G490" s="6"/>
      <c r="J490" s="6"/>
    </row>
    <row r="491">
      <c r="B491" s="6"/>
      <c r="C491" s="6"/>
      <c r="D491" s="6"/>
      <c r="E491" s="6"/>
      <c r="F491" s="6"/>
      <c r="G491" s="6"/>
      <c r="J491" s="6"/>
    </row>
    <row r="492">
      <c r="B492" s="6"/>
      <c r="C492" s="6"/>
      <c r="D492" s="6"/>
      <c r="E492" s="6"/>
      <c r="F492" s="6"/>
      <c r="G492" s="6"/>
      <c r="J492" s="6"/>
    </row>
    <row r="493">
      <c r="B493" s="6"/>
      <c r="C493" s="6"/>
      <c r="D493" s="6"/>
      <c r="E493" s="6"/>
      <c r="F493" s="6"/>
      <c r="G493" s="6"/>
      <c r="J493" s="6"/>
    </row>
    <row r="494">
      <c r="B494" s="6"/>
      <c r="C494" s="6"/>
      <c r="D494" s="6"/>
      <c r="E494" s="6"/>
      <c r="F494" s="6"/>
      <c r="G494" s="6"/>
      <c r="J494" s="6"/>
    </row>
    <row r="495">
      <c r="B495" s="6"/>
      <c r="C495" s="6"/>
      <c r="D495" s="6"/>
      <c r="E495" s="6"/>
      <c r="F495" s="6"/>
      <c r="G495" s="6"/>
      <c r="J495" s="6"/>
    </row>
    <row r="496">
      <c r="B496" s="6"/>
      <c r="C496" s="6"/>
      <c r="D496" s="6"/>
      <c r="E496" s="6"/>
      <c r="F496" s="6"/>
      <c r="G496" s="6"/>
      <c r="J496" s="6"/>
    </row>
    <row r="497">
      <c r="B497" s="6"/>
      <c r="C497" s="6"/>
      <c r="D497" s="6"/>
      <c r="E497" s="6"/>
      <c r="F497" s="6"/>
      <c r="G497" s="6"/>
      <c r="J497" s="6"/>
    </row>
    <row r="498">
      <c r="B498" s="6"/>
      <c r="C498" s="6"/>
      <c r="D498" s="6"/>
      <c r="E498" s="6"/>
      <c r="F498" s="6"/>
      <c r="G498" s="6"/>
      <c r="J498" s="6"/>
    </row>
    <row r="499">
      <c r="B499" s="6"/>
      <c r="C499" s="6"/>
      <c r="D499" s="6"/>
      <c r="E499" s="6"/>
      <c r="F499" s="6"/>
      <c r="G499" s="6"/>
      <c r="J499" s="6"/>
    </row>
    <row r="500">
      <c r="B500" s="6"/>
      <c r="C500" s="6"/>
      <c r="D500" s="6"/>
      <c r="E500" s="6"/>
      <c r="F500" s="6"/>
      <c r="G500" s="6"/>
      <c r="J500" s="6"/>
    </row>
    <row r="501">
      <c r="B501" s="6"/>
      <c r="C501" s="6"/>
      <c r="D501" s="6"/>
      <c r="E501" s="6"/>
      <c r="F501" s="6"/>
      <c r="G501" s="6"/>
      <c r="J501" s="6"/>
    </row>
    <row r="502">
      <c r="B502" s="6"/>
      <c r="C502" s="6"/>
      <c r="D502" s="6"/>
      <c r="E502" s="6"/>
      <c r="F502" s="6"/>
      <c r="G502" s="6"/>
      <c r="J502" s="6"/>
    </row>
    <row r="503">
      <c r="B503" s="6"/>
      <c r="C503" s="6"/>
      <c r="D503" s="6"/>
      <c r="E503" s="6"/>
      <c r="F503" s="6"/>
      <c r="G503" s="6"/>
      <c r="J503" s="6"/>
    </row>
    <row r="504">
      <c r="B504" s="6"/>
      <c r="C504" s="6"/>
      <c r="D504" s="6"/>
      <c r="E504" s="6"/>
      <c r="F504" s="6"/>
      <c r="G504" s="6"/>
      <c r="J504" s="6"/>
    </row>
    <row r="505">
      <c r="B505" s="6"/>
      <c r="C505" s="6"/>
      <c r="D505" s="6"/>
      <c r="E505" s="6"/>
      <c r="F505" s="6"/>
      <c r="G505" s="6"/>
      <c r="J505" s="6"/>
    </row>
    <row r="506">
      <c r="B506" s="6"/>
      <c r="C506" s="6"/>
      <c r="D506" s="6"/>
      <c r="E506" s="6"/>
      <c r="F506" s="6"/>
      <c r="G506" s="6"/>
      <c r="J506" s="6"/>
    </row>
    <row r="507">
      <c r="B507" s="6"/>
      <c r="C507" s="6"/>
      <c r="D507" s="6"/>
      <c r="E507" s="6"/>
      <c r="F507" s="6"/>
      <c r="G507" s="6"/>
      <c r="J507" s="6"/>
    </row>
    <row r="508">
      <c r="B508" s="6"/>
      <c r="C508" s="6"/>
      <c r="D508" s="6"/>
      <c r="E508" s="6"/>
      <c r="F508" s="6"/>
      <c r="G508" s="6"/>
      <c r="J508" s="6"/>
    </row>
    <row r="509">
      <c r="B509" s="6"/>
      <c r="C509" s="6"/>
      <c r="D509" s="6"/>
      <c r="E509" s="6"/>
      <c r="F509" s="6"/>
      <c r="G509" s="6"/>
      <c r="J509" s="6"/>
    </row>
    <row r="510">
      <c r="B510" s="6"/>
      <c r="C510" s="6"/>
      <c r="D510" s="6"/>
      <c r="E510" s="6"/>
      <c r="F510" s="6"/>
      <c r="G510" s="6"/>
      <c r="J510" s="6"/>
    </row>
    <row r="511">
      <c r="B511" s="6"/>
      <c r="C511" s="6"/>
      <c r="D511" s="6"/>
      <c r="E511" s="6"/>
      <c r="F511" s="6"/>
      <c r="G511" s="6"/>
      <c r="J511" s="6"/>
    </row>
    <row r="512">
      <c r="B512" s="6"/>
      <c r="C512" s="6"/>
      <c r="D512" s="6"/>
      <c r="E512" s="6"/>
      <c r="F512" s="6"/>
      <c r="G512" s="6"/>
      <c r="J512" s="6"/>
    </row>
    <row r="513">
      <c r="B513" s="6"/>
      <c r="C513" s="6"/>
      <c r="D513" s="6"/>
      <c r="E513" s="6"/>
      <c r="F513" s="6"/>
      <c r="G513" s="6"/>
      <c r="J513" s="6"/>
    </row>
    <row r="514">
      <c r="B514" s="6"/>
      <c r="C514" s="6"/>
      <c r="D514" s="6"/>
      <c r="E514" s="6"/>
      <c r="F514" s="6"/>
      <c r="G514" s="6"/>
      <c r="J514" s="6"/>
    </row>
    <row r="515">
      <c r="B515" s="6"/>
      <c r="C515" s="6"/>
      <c r="D515" s="6"/>
      <c r="E515" s="6"/>
      <c r="F515" s="6"/>
      <c r="G515" s="6"/>
      <c r="J515" s="6"/>
    </row>
    <row r="516">
      <c r="B516" s="6"/>
      <c r="C516" s="6"/>
      <c r="D516" s="6"/>
      <c r="E516" s="6"/>
      <c r="F516" s="6"/>
      <c r="G516" s="6"/>
      <c r="J516" s="6"/>
    </row>
    <row r="517">
      <c r="B517" s="6"/>
      <c r="C517" s="6"/>
      <c r="D517" s="6"/>
      <c r="E517" s="6"/>
      <c r="F517" s="6"/>
      <c r="G517" s="6"/>
      <c r="J517" s="6"/>
    </row>
    <row r="518">
      <c r="B518" s="6"/>
      <c r="C518" s="6"/>
      <c r="D518" s="6"/>
      <c r="E518" s="6"/>
      <c r="F518" s="6"/>
      <c r="G518" s="6"/>
      <c r="J518" s="6"/>
    </row>
    <row r="519">
      <c r="B519" s="6"/>
      <c r="C519" s="6"/>
      <c r="D519" s="6"/>
      <c r="E519" s="6"/>
      <c r="F519" s="6"/>
      <c r="G519" s="6"/>
      <c r="J519" s="6"/>
    </row>
    <row r="520">
      <c r="B520" s="6"/>
      <c r="C520" s="6"/>
      <c r="D520" s="6"/>
      <c r="E520" s="6"/>
      <c r="F520" s="6"/>
      <c r="G520" s="6"/>
      <c r="J520" s="6"/>
    </row>
    <row r="521">
      <c r="B521" s="6"/>
      <c r="C521" s="6"/>
      <c r="D521" s="6"/>
      <c r="E521" s="6"/>
      <c r="F521" s="6"/>
      <c r="G521" s="6"/>
      <c r="J521" s="6"/>
    </row>
    <row r="522">
      <c r="B522" s="6"/>
      <c r="C522" s="6"/>
      <c r="D522" s="6"/>
      <c r="E522" s="6"/>
      <c r="F522" s="6"/>
      <c r="G522" s="6"/>
      <c r="J522" s="6"/>
    </row>
    <row r="523">
      <c r="B523" s="6"/>
      <c r="C523" s="6"/>
      <c r="D523" s="6"/>
      <c r="E523" s="6"/>
      <c r="F523" s="6"/>
      <c r="G523" s="6"/>
      <c r="J523" s="6"/>
    </row>
    <row r="524">
      <c r="B524" s="6"/>
      <c r="C524" s="6"/>
      <c r="D524" s="6"/>
      <c r="E524" s="6"/>
      <c r="F524" s="6"/>
      <c r="G524" s="6"/>
      <c r="J524" s="6"/>
    </row>
    <row r="525">
      <c r="B525" s="6"/>
      <c r="C525" s="6"/>
      <c r="D525" s="6"/>
      <c r="E525" s="6"/>
      <c r="F525" s="6"/>
      <c r="G525" s="6"/>
      <c r="J525" s="6"/>
    </row>
    <row r="526">
      <c r="B526" s="6"/>
      <c r="C526" s="6"/>
      <c r="D526" s="6"/>
      <c r="E526" s="6"/>
      <c r="F526" s="6"/>
      <c r="G526" s="6"/>
      <c r="J526" s="6"/>
    </row>
    <row r="527">
      <c r="B527" s="6"/>
      <c r="C527" s="6"/>
      <c r="D527" s="6"/>
      <c r="E527" s="6"/>
      <c r="F527" s="6"/>
      <c r="G527" s="6"/>
      <c r="J527" s="6"/>
    </row>
    <row r="528">
      <c r="B528" s="6"/>
      <c r="C528" s="6"/>
      <c r="D528" s="6"/>
      <c r="E528" s="6"/>
      <c r="F528" s="6"/>
      <c r="G528" s="6"/>
      <c r="J528" s="6"/>
    </row>
    <row r="529">
      <c r="B529" s="6"/>
      <c r="C529" s="6"/>
      <c r="D529" s="6"/>
      <c r="E529" s="6"/>
      <c r="F529" s="6"/>
      <c r="G529" s="6"/>
      <c r="J529" s="6"/>
    </row>
    <row r="530">
      <c r="B530" s="6"/>
      <c r="C530" s="6"/>
      <c r="D530" s="6"/>
      <c r="E530" s="6"/>
      <c r="F530" s="6"/>
      <c r="G530" s="6"/>
      <c r="J530" s="6"/>
    </row>
    <row r="531">
      <c r="B531" s="6"/>
      <c r="C531" s="6"/>
      <c r="D531" s="6"/>
      <c r="E531" s="6"/>
      <c r="F531" s="6"/>
      <c r="G531" s="6"/>
      <c r="J531" s="6"/>
    </row>
    <row r="532">
      <c r="B532" s="6"/>
      <c r="C532" s="6"/>
      <c r="D532" s="6"/>
      <c r="E532" s="6"/>
      <c r="F532" s="6"/>
      <c r="G532" s="6"/>
      <c r="J532" s="6"/>
    </row>
    <row r="533">
      <c r="B533" s="6"/>
      <c r="C533" s="6"/>
      <c r="D533" s="6"/>
      <c r="E533" s="6"/>
      <c r="F533" s="6"/>
      <c r="G533" s="6"/>
      <c r="J533" s="6"/>
    </row>
    <row r="534">
      <c r="B534" s="6"/>
      <c r="C534" s="6"/>
      <c r="D534" s="6"/>
      <c r="E534" s="6"/>
      <c r="F534" s="6"/>
      <c r="G534" s="6"/>
      <c r="J534" s="6"/>
    </row>
    <row r="535">
      <c r="B535" s="6"/>
      <c r="C535" s="6"/>
      <c r="D535" s="6"/>
      <c r="E535" s="6"/>
      <c r="F535" s="6"/>
      <c r="G535" s="6"/>
      <c r="J535" s="6"/>
    </row>
    <row r="536">
      <c r="B536" s="6"/>
      <c r="C536" s="6"/>
      <c r="D536" s="6"/>
      <c r="E536" s="6"/>
      <c r="F536" s="6"/>
      <c r="G536" s="6"/>
      <c r="J536" s="6"/>
    </row>
    <row r="537">
      <c r="B537" s="6"/>
      <c r="C537" s="6"/>
      <c r="D537" s="6"/>
      <c r="E537" s="6"/>
      <c r="F537" s="6"/>
      <c r="G537" s="6"/>
      <c r="J537" s="6"/>
    </row>
    <row r="538">
      <c r="B538" s="6"/>
      <c r="C538" s="6"/>
      <c r="D538" s="6"/>
      <c r="E538" s="6"/>
      <c r="F538" s="6"/>
      <c r="G538" s="6"/>
      <c r="J538" s="6"/>
    </row>
    <row r="539">
      <c r="B539" s="6"/>
      <c r="C539" s="6"/>
      <c r="D539" s="6"/>
      <c r="E539" s="6"/>
      <c r="F539" s="6"/>
      <c r="G539" s="6"/>
      <c r="J539" s="6"/>
    </row>
    <row r="540">
      <c r="B540" s="6"/>
      <c r="C540" s="6"/>
      <c r="D540" s="6"/>
      <c r="E540" s="6"/>
      <c r="F540" s="6"/>
      <c r="G540" s="6"/>
      <c r="J540" s="6"/>
    </row>
    <row r="541">
      <c r="B541" s="6"/>
      <c r="C541" s="6"/>
      <c r="D541" s="6"/>
      <c r="E541" s="6"/>
      <c r="F541" s="6"/>
      <c r="G541" s="6"/>
      <c r="J541" s="6"/>
    </row>
    <row r="542">
      <c r="B542" s="6"/>
      <c r="C542" s="6"/>
      <c r="D542" s="6"/>
      <c r="E542" s="6"/>
      <c r="F542" s="6"/>
      <c r="G542" s="6"/>
      <c r="J542" s="6"/>
    </row>
    <row r="543">
      <c r="B543" s="6"/>
      <c r="C543" s="6"/>
      <c r="D543" s="6"/>
      <c r="E543" s="6"/>
      <c r="F543" s="6"/>
      <c r="G543" s="6"/>
      <c r="J543" s="6"/>
    </row>
    <row r="544">
      <c r="B544" s="6"/>
      <c r="C544" s="6"/>
      <c r="D544" s="6"/>
      <c r="E544" s="6"/>
      <c r="F544" s="6"/>
      <c r="G544" s="6"/>
      <c r="J544" s="6"/>
    </row>
    <row r="545">
      <c r="B545" s="6"/>
      <c r="C545" s="6"/>
      <c r="D545" s="6"/>
      <c r="E545" s="6"/>
      <c r="F545" s="6"/>
      <c r="G545" s="6"/>
      <c r="J545" s="6"/>
    </row>
    <row r="546">
      <c r="B546" s="6"/>
      <c r="C546" s="6"/>
      <c r="D546" s="6"/>
      <c r="E546" s="6"/>
      <c r="F546" s="6"/>
      <c r="G546" s="6"/>
      <c r="J546" s="6"/>
    </row>
    <row r="547">
      <c r="B547" s="6"/>
      <c r="C547" s="6"/>
      <c r="D547" s="6"/>
      <c r="E547" s="6"/>
      <c r="F547" s="6"/>
      <c r="G547" s="6"/>
      <c r="J547" s="6"/>
    </row>
    <row r="548">
      <c r="B548" s="6"/>
      <c r="C548" s="6"/>
      <c r="D548" s="6"/>
      <c r="E548" s="6"/>
      <c r="F548" s="6"/>
      <c r="G548" s="6"/>
      <c r="J548" s="6"/>
    </row>
    <row r="549">
      <c r="B549" s="6"/>
      <c r="C549" s="6"/>
      <c r="D549" s="6"/>
      <c r="E549" s="6"/>
      <c r="F549" s="6"/>
      <c r="G549" s="6"/>
      <c r="J549" s="6"/>
    </row>
    <row r="550">
      <c r="B550" s="6"/>
      <c r="C550" s="6"/>
      <c r="D550" s="6"/>
      <c r="E550" s="6"/>
      <c r="F550" s="6"/>
      <c r="G550" s="6"/>
      <c r="J550" s="6"/>
    </row>
    <row r="551">
      <c r="B551" s="6"/>
      <c r="C551" s="6"/>
      <c r="D551" s="6"/>
      <c r="E551" s="6"/>
      <c r="F551" s="6"/>
      <c r="G551" s="6"/>
      <c r="J551" s="6"/>
    </row>
    <row r="552">
      <c r="B552" s="6"/>
      <c r="C552" s="6"/>
      <c r="D552" s="6"/>
      <c r="E552" s="6"/>
      <c r="F552" s="6"/>
      <c r="G552" s="6"/>
      <c r="J552" s="6"/>
    </row>
    <row r="553">
      <c r="B553" s="6"/>
      <c r="C553" s="6"/>
      <c r="D553" s="6"/>
      <c r="E553" s="6"/>
      <c r="F553" s="6"/>
      <c r="G553" s="6"/>
      <c r="J553" s="6"/>
    </row>
    <row r="554">
      <c r="B554" s="6"/>
      <c r="C554" s="6"/>
      <c r="D554" s="6"/>
      <c r="E554" s="6"/>
      <c r="F554" s="6"/>
      <c r="G554" s="6"/>
      <c r="J554" s="6"/>
    </row>
    <row r="555">
      <c r="B555" s="6"/>
      <c r="C555" s="6"/>
      <c r="D555" s="6"/>
      <c r="E555" s="6"/>
      <c r="F555" s="6"/>
      <c r="G555" s="6"/>
      <c r="J555" s="6"/>
    </row>
    <row r="556">
      <c r="B556" s="6"/>
      <c r="C556" s="6"/>
      <c r="D556" s="6"/>
      <c r="E556" s="6"/>
      <c r="F556" s="6"/>
      <c r="G556" s="6"/>
      <c r="J556" s="6"/>
    </row>
    <row r="557">
      <c r="B557" s="6"/>
      <c r="C557" s="6"/>
      <c r="D557" s="6"/>
      <c r="E557" s="6"/>
      <c r="F557" s="6"/>
      <c r="G557" s="6"/>
      <c r="J557" s="6"/>
    </row>
    <row r="558">
      <c r="B558" s="6"/>
      <c r="C558" s="6"/>
      <c r="D558" s="6"/>
      <c r="E558" s="6"/>
      <c r="F558" s="6"/>
      <c r="G558" s="6"/>
      <c r="J558" s="6"/>
    </row>
    <row r="559">
      <c r="B559" s="6"/>
      <c r="C559" s="6"/>
      <c r="D559" s="6"/>
      <c r="E559" s="6"/>
      <c r="F559" s="6"/>
      <c r="G559" s="6"/>
      <c r="J559" s="6"/>
    </row>
    <row r="560">
      <c r="B560" s="6"/>
      <c r="C560" s="6"/>
      <c r="D560" s="6"/>
      <c r="E560" s="6"/>
      <c r="F560" s="6"/>
      <c r="G560" s="6"/>
      <c r="J560" s="6"/>
    </row>
    <row r="561">
      <c r="B561" s="6"/>
      <c r="C561" s="6"/>
      <c r="D561" s="6"/>
      <c r="E561" s="6"/>
      <c r="F561" s="6"/>
      <c r="G561" s="6"/>
      <c r="J561" s="6"/>
    </row>
    <row r="562">
      <c r="B562" s="6"/>
      <c r="C562" s="6"/>
      <c r="D562" s="6"/>
      <c r="E562" s="6"/>
      <c r="F562" s="6"/>
      <c r="G562" s="6"/>
      <c r="J562" s="6"/>
    </row>
    <row r="563">
      <c r="B563" s="6"/>
      <c r="C563" s="6"/>
      <c r="D563" s="6"/>
      <c r="E563" s="6"/>
      <c r="F563" s="6"/>
      <c r="G563" s="6"/>
      <c r="J563" s="6"/>
    </row>
    <row r="564">
      <c r="B564" s="6"/>
      <c r="C564" s="6"/>
      <c r="D564" s="6"/>
      <c r="E564" s="6"/>
      <c r="F564" s="6"/>
      <c r="G564" s="6"/>
      <c r="J564" s="6"/>
    </row>
    <row r="565">
      <c r="B565" s="6"/>
      <c r="C565" s="6"/>
      <c r="D565" s="6"/>
      <c r="E565" s="6"/>
      <c r="F565" s="6"/>
      <c r="G565" s="6"/>
      <c r="J565" s="6"/>
    </row>
    <row r="566">
      <c r="B566" s="6"/>
      <c r="C566" s="6"/>
      <c r="D566" s="6"/>
      <c r="E566" s="6"/>
      <c r="F566" s="6"/>
      <c r="G566" s="6"/>
      <c r="J566" s="6"/>
    </row>
    <row r="567">
      <c r="B567" s="6"/>
      <c r="C567" s="6"/>
      <c r="D567" s="6"/>
      <c r="E567" s="6"/>
      <c r="F567" s="6"/>
      <c r="G567" s="6"/>
      <c r="J567" s="6"/>
    </row>
    <row r="568">
      <c r="B568" s="6"/>
      <c r="C568" s="6"/>
      <c r="D568" s="6"/>
      <c r="E568" s="6"/>
      <c r="F568" s="6"/>
      <c r="G568" s="6"/>
      <c r="J568" s="6"/>
    </row>
    <row r="569">
      <c r="B569" s="6"/>
      <c r="C569" s="6"/>
      <c r="D569" s="6"/>
      <c r="E569" s="6"/>
      <c r="F569" s="6"/>
      <c r="G569" s="6"/>
      <c r="J569" s="6"/>
    </row>
    <row r="570">
      <c r="B570" s="6"/>
      <c r="C570" s="6"/>
      <c r="D570" s="6"/>
      <c r="E570" s="6"/>
      <c r="F570" s="6"/>
      <c r="G570" s="6"/>
      <c r="J570" s="6"/>
    </row>
    <row r="571">
      <c r="B571" s="6"/>
      <c r="C571" s="6"/>
      <c r="D571" s="6"/>
      <c r="E571" s="6"/>
      <c r="F571" s="6"/>
      <c r="G571" s="6"/>
      <c r="J571" s="6"/>
    </row>
    <row r="572">
      <c r="B572" s="6"/>
      <c r="C572" s="6"/>
      <c r="D572" s="6"/>
      <c r="E572" s="6"/>
      <c r="F572" s="6"/>
      <c r="G572" s="6"/>
      <c r="J572" s="6"/>
    </row>
    <row r="573">
      <c r="B573" s="6"/>
      <c r="C573" s="6"/>
      <c r="D573" s="6"/>
      <c r="E573" s="6"/>
      <c r="F573" s="6"/>
      <c r="G573" s="6"/>
      <c r="J573" s="6"/>
    </row>
    <row r="574">
      <c r="B574" s="6"/>
      <c r="C574" s="6"/>
      <c r="D574" s="6"/>
      <c r="E574" s="6"/>
      <c r="F574" s="6"/>
      <c r="G574" s="6"/>
      <c r="J574" s="6"/>
    </row>
    <row r="575">
      <c r="B575" s="6"/>
      <c r="C575" s="6"/>
      <c r="D575" s="6"/>
      <c r="E575" s="6"/>
      <c r="F575" s="6"/>
      <c r="G575" s="6"/>
      <c r="J575" s="6"/>
    </row>
    <row r="576">
      <c r="B576" s="6"/>
      <c r="C576" s="6"/>
      <c r="D576" s="6"/>
      <c r="E576" s="6"/>
      <c r="F576" s="6"/>
      <c r="G576" s="6"/>
      <c r="J576" s="6"/>
    </row>
    <row r="577">
      <c r="B577" s="6"/>
      <c r="C577" s="6"/>
      <c r="D577" s="6"/>
      <c r="E577" s="6"/>
      <c r="F577" s="6"/>
      <c r="G577" s="6"/>
      <c r="J577" s="6"/>
    </row>
    <row r="578">
      <c r="B578" s="6"/>
      <c r="C578" s="6"/>
      <c r="D578" s="6"/>
      <c r="E578" s="6"/>
      <c r="F578" s="6"/>
      <c r="G578" s="6"/>
      <c r="J578" s="6"/>
    </row>
    <row r="579">
      <c r="B579" s="6"/>
      <c r="C579" s="6"/>
      <c r="D579" s="6"/>
      <c r="E579" s="6"/>
      <c r="F579" s="6"/>
      <c r="G579" s="6"/>
      <c r="J579" s="6"/>
    </row>
    <row r="580">
      <c r="B580" s="6"/>
      <c r="C580" s="6"/>
      <c r="D580" s="6"/>
      <c r="E580" s="6"/>
      <c r="F580" s="6"/>
      <c r="G580" s="6"/>
      <c r="J580" s="6"/>
    </row>
    <row r="581">
      <c r="B581" s="6"/>
      <c r="C581" s="6"/>
      <c r="D581" s="6"/>
      <c r="E581" s="6"/>
      <c r="F581" s="6"/>
      <c r="G581" s="6"/>
      <c r="J581" s="6"/>
    </row>
    <row r="582">
      <c r="B582" s="6"/>
      <c r="C582" s="6"/>
      <c r="D582" s="6"/>
      <c r="E582" s="6"/>
      <c r="F582" s="6"/>
      <c r="G582" s="6"/>
      <c r="J582" s="6"/>
    </row>
    <row r="583">
      <c r="B583" s="6"/>
      <c r="C583" s="6"/>
      <c r="D583" s="6"/>
      <c r="E583" s="6"/>
      <c r="F583" s="6"/>
      <c r="G583" s="6"/>
      <c r="J583" s="6"/>
    </row>
    <row r="584">
      <c r="B584" s="6"/>
      <c r="C584" s="6"/>
      <c r="D584" s="6"/>
      <c r="E584" s="6"/>
      <c r="F584" s="6"/>
      <c r="G584" s="6"/>
      <c r="J584" s="6"/>
    </row>
    <row r="585">
      <c r="B585" s="6"/>
      <c r="C585" s="6"/>
      <c r="D585" s="6"/>
      <c r="E585" s="6"/>
      <c r="F585" s="6"/>
      <c r="G585" s="6"/>
      <c r="J585" s="6"/>
    </row>
    <row r="586">
      <c r="B586" s="6"/>
      <c r="C586" s="6"/>
      <c r="D586" s="6"/>
      <c r="E586" s="6"/>
      <c r="F586" s="6"/>
      <c r="G586" s="6"/>
      <c r="J586" s="6"/>
    </row>
    <row r="587">
      <c r="B587" s="6"/>
      <c r="C587" s="6"/>
      <c r="D587" s="6"/>
      <c r="E587" s="6"/>
      <c r="F587" s="6"/>
      <c r="G587" s="6"/>
      <c r="J587" s="6"/>
    </row>
    <row r="588">
      <c r="B588" s="6"/>
      <c r="C588" s="6"/>
      <c r="D588" s="6"/>
      <c r="E588" s="6"/>
      <c r="F588" s="6"/>
      <c r="G588" s="6"/>
      <c r="J588" s="6"/>
    </row>
    <row r="589">
      <c r="B589" s="6"/>
      <c r="C589" s="6"/>
      <c r="D589" s="6"/>
      <c r="E589" s="6"/>
      <c r="F589" s="6"/>
      <c r="G589" s="6"/>
      <c r="J589" s="6"/>
    </row>
    <row r="590">
      <c r="B590" s="6"/>
      <c r="C590" s="6"/>
      <c r="D590" s="6"/>
      <c r="E590" s="6"/>
      <c r="F590" s="6"/>
      <c r="G590" s="6"/>
      <c r="J590" s="6"/>
    </row>
    <row r="591">
      <c r="B591" s="6"/>
      <c r="C591" s="6"/>
      <c r="D591" s="6"/>
      <c r="E591" s="6"/>
      <c r="F591" s="6"/>
      <c r="G591" s="6"/>
      <c r="J591" s="6"/>
    </row>
    <row r="592">
      <c r="B592" s="6"/>
      <c r="C592" s="6"/>
      <c r="D592" s="6"/>
      <c r="E592" s="6"/>
      <c r="F592" s="6"/>
      <c r="G592" s="6"/>
      <c r="J592" s="6"/>
    </row>
    <row r="593">
      <c r="B593" s="6"/>
      <c r="C593" s="6"/>
      <c r="D593" s="6"/>
      <c r="E593" s="6"/>
      <c r="F593" s="6"/>
      <c r="G593" s="6"/>
      <c r="J593" s="6"/>
    </row>
    <row r="594">
      <c r="B594" s="6"/>
      <c r="C594" s="6"/>
      <c r="D594" s="6"/>
      <c r="E594" s="6"/>
      <c r="F594" s="6"/>
      <c r="G594" s="6"/>
      <c r="J594" s="6"/>
    </row>
    <row r="595">
      <c r="B595" s="6"/>
      <c r="C595" s="6"/>
      <c r="D595" s="6"/>
      <c r="E595" s="6"/>
      <c r="F595" s="6"/>
      <c r="G595" s="6"/>
      <c r="J595" s="6"/>
    </row>
    <row r="596">
      <c r="B596" s="6"/>
      <c r="C596" s="6"/>
      <c r="D596" s="6"/>
      <c r="E596" s="6"/>
      <c r="F596" s="6"/>
      <c r="G596" s="6"/>
      <c r="J596" s="6"/>
    </row>
    <row r="597">
      <c r="B597" s="6"/>
      <c r="C597" s="6"/>
      <c r="D597" s="6"/>
      <c r="E597" s="6"/>
      <c r="F597" s="6"/>
      <c r="G597" s="6"/>
      <c r="J597" s="6"/>
    </row>
    <row r="598">
      <c r="B598" s="6"/>
      <c r="C598" s="6"/>
      <c r="D598" s="6"/>
      <c r="E598" s="6"/>
      <c r="F598" s="6"/>
      <c r="G598" s="6"/>
      <c r="J598" s="6"/>
    </row>
    <row r="599">
      <c r="B599" s="6"/>
      <c r="C599" s="6"/>
      <c r="D599" s="6"/>
      <c r="E599" s="6"/>
      <c r="F599" s="6"/>
      <c r="G599" s="6"/>
      <c r="J599" s="6"/>
    </row>
    <row r="600">
      <c r="B600" s="6"/>
      <c r="C600" s="6"/>
      <c r="D600" s="6"/>
      <c r="E600" s="6"/>
      <c r="F600" s="6"/>
      <c r="G600" s="6"/>
      <c r="J600" s="6"/>
    </row>
    <row r="601">
      <c r="B601" s="6"/>
      <c r="C601" s="6"/>
      <c r="D601" s="6"/>
      <c r="E601" s="6"/>
      <c r="F601" s="6"/>
      <c r="G601" s="6"/>
      <c r="J601" s="6"/>
    </row>
    <row r="602">
      <c r="B602" s="6"/>
      <c r="C602" s="6"/>
      <c r="D602" s="6"/>
      <c r="E602" s="6"/>
      <c r="F602" s="6"/>
      <c r="G602" s="6"/>
      <c r="J602" s="6"/>
    </row>
    <row r="603">
      <c r="B603" s="6"/>
      <c r="C603" s="6"/>
      <c r="D603" s="6"/>
      <c r="E603" s="6"/>
      <c r="F603" s="6"/>
      <c r="G603" s="6"/>
      <c r="J603" s="6"/>
    </row>
    <row r="604">
      <c r="B604" s="6"/>
      <c r="C604" s="6"/>
      <c r="D604" s="6"/>
      <c r="E604" s="6"/>
      <c r="F604" s="6"/>
      <c r="G604" s="6"/>
      <c r="J604" s="6"/>
    </row>
    <row r="605">
      <c r="B605" s="6"/>
      <c r="C605" s="6"/>
      <c r="D605" s="6"/>
      <c r="E605" s="6"/>
      <c r="F605" s="6"/>
      <c r="G605" s="6"/>
      <c r="J605" s="6"/>
    </row>
    <row r="606">
      <c r="B606" s="6"/>
      <c r="C606" s="6"/>
      <c r="D606" s="6"/>
      <c r="E606" s="6"/>
      <c r="F606" s="6"/>
      <c r="G606" s="6"/>
      <c r="J606" s="6"/>
    </row>
    <row r="607">
      <c r="B607" s="6"/>
      <c r="C607" s="6"/>
      <c r="D607" s="6"/>
      <c r="E607" s="6"/>
      <c r="F607" s="6"/>
      <c r="G607" s="6"/>
      <c r="J607" s="6"/>
    </row>
    <row r="608">
      <c r="B608" s="6"/>
      <c r="C608" s="6"/>
      <c r="D608" s="6"/>
      <c r="E608" s="6"/>
      <c r="F608" s="6"/>
      <c r="G608" s="6"/>
      <c r="J608" s="6"/>
    </row>
    <row r="609">
      <c r="B609" s="6"/>
      <c r="C609" s="6"/>
      <c r="D609" s="6"/>
      <c r="E609" s="6"/>
      <c r="F609" s="6"/>
      <c r="G609" s="6"/>
      <c r="J609" s="6"/>
    </row>
    <row r="610">
      <c r="B610" s="6"/>
      <c r="C610" s="6"/>
      <c r="D610" s="6"/>
      <c r="E610" s="6"/>
      <c r="F610" s="6"/>
      <c r="G610" s="6"/>
      <c r="J610" s="6"/>
    </row>
    <row r="611">
      <c r="B611" s="6"/>
      <c r="C611" s="6"/>
      <c r="D611" s="6"/>
      <c r="E611" s="6"/>
      <c r="F611" s="6"/>
      <c r="G611" s="6"/>
      <c r="J611" s="6"/>
    </row>
    <row r="612">
      <c r="B612" s="6"/>
      <c r="C612" s="6"/>
      <c r="D612" s="6"/>
      <c r="E612" s="6"/>
      <c r="F612" s="6"/>
      <c r="G612" s="6"/>
      <c r="J612" s="6"/>
    </row>
    <row r="613">
      <c r="B613" s="6"/>
      <c r="C613" s="6"/>
      <c r="D613" s="6"/>
      <c r="E613" s="6"/>
      <c r="F613" s="6"/>
      <c r="G613" s="6"/>
      <c r="J613" s="6"/>
    </row>
    <row r="614">
      <c r="B614" s="6"/>
      <c r="C614" s="6"/>
      <c r="D614" s="6"/>
      <c r="E614" s="6"/>
      <c r="F614" s="6"/>
      <c r="G614" s="6"/>
      <c r="J614" s="6"/>
    </row>
    <row r="615">
      <c r="B615" s="6"/>
      <c r="C615" s="6"/>
      <c r="D615" s="6"/>
      <c r="E615" s="6"/>
      <c r="F615" s="6"/>
      <c r="G615" s="6"/>
      <c r="J615" s="6"/>
    </row>
    <row r="616">
      <c r="B616" s="6"/>
      <c r="C616" s="6"/>
      <c r="D616" s="6"/>
      <c r="E616" s="6"/>
      <c r="F616" s="6"/>
      <c r="G616" s="6"/>
      <c r="J616" s="6"/>
    </row>
    <row r="617">
      <c r="B617" s="6"/>
      <c r="C617" s="6"/>
      <c r="D617" s="6"/>
      <c r="E617" s="6"/>
      <c r="F617" s="6"/>
      <c r="G617" s="6"/>
      <c r="J617" s="6"/>
    </row>
    <row r="618">
      <c r="B618" s="6"/>
      <c r="C618" s="6"/>
      <c r="D618" s="6"/>
      <c r="E618" s="6"/>
      <c r="F618" s="6"/>
      <c r="G618" s="6"/>
      <c r="J618" s="6"/>
    </row>
    <row r="619">
      <c r="B619" s="6"/>
      <c r="C619" s="6"/>
      <c r="D619" s="6"/>
      <c r="E619" s="6"/>
      <c r="F619" s="6"/>
      <c r="G619" s="6"/>
      <c r="J619" s="6"/>
    </row>
    <row r="620">
      <c r="B620" s="6"/>
      <c r="C620" s="6"/>
      <c r="D620" s="6"/>
      <c r="E620" s="6"/>
      <c r="F620" s="6"/>
      <c r="G620" s="6"/>
      <c r="J620" s="6"/>
    </row>
    <row r="621">
      <c r="B621" s="6"/>
      <c r="C621" s="6"/>
      <c r="D621" s="6"/>
      <c r="E621" s="6"/>
      <c r="F621" s="6"/>
      <c r="G621" s="6"/>
      <c r="J621" s="6"/>
    </row>
    <row r="622">
      <c r="B622" s="6"/>
      <c r="C622" s="6"/>
      <c r="D622" s="6"/>
      <c r="E622" s="6"/>
      <c r="F622" s="6"/>
      <c r="G622" s="6"/>
      <c r="J622" s="6"/>
    </row>
    <row r="623">
      <c r="B623" s="6"/>
      <c r="C623" s="6"/>
      <c r="D623" s="6"/>
      <c r="E623" s="6"/>
      <c r="F623" s="6"/>
      <c r="G623" s="6"/>
      <c r="J623" s="6"/>
    </row>
    <row r="624">
      <c r="B624" s="6"/>
      <c r="C624" s="6"/>
      <c r="D624" s="6"/>
      <c r="E624" s="6"/>
      <c r="F624" s="6"/>
      <c r="G624" s="6"/>
      <c r="J624" s="6"/>
    </row>
    <row r="625">
      <c r="B625" s="6"/>
      <c r="C625" s="6"/>
      <c r="D625" s="6"/>
      <c r="E625" s="6"/>
      <c r="F625" s="6"/>
      <c r="G625" s="6"/>
      <c r="J625" s="6"/>
    </row>
    <row r="626">
      <c r="B626" s="6"/>
      <c r="C626" s="6"/>
      <c r="D626" s="6"/>
      <c r="E626" s="6"/>
      <c r="F626" s="6"/>
      <c r="G626" s="6"/>
      <c r="J626" s="6"/>
    </row>
    <row r="627">
      <c r="B627" s="6"/>
      <c r="C627" s="6"/>
      <c r="D627" s="6"/>
      <c r="E627" s="6"/>
      <c r="F627" s="6"/>
      <c r="G627" s="6"/>
      <c r="J627" s="6"/>
    </row>
    <row r="628">
      <c r="B628" s="6"/>
      <c r="C628" s="6"/>
      <c r="D628" s="6"/>
      <c r="E628" s="6"/>
      <c r="F628" s="6"/>
      <c r="G628" s="6"/>
      <c r="J628" s="6"/>
    </row>
    <row r="629">
      <c r="B629" s="6"/>
      <c r="C629" s="6"/>
      <c r="D629" s="6"/>
      <c r="E629" s="6"/>
      <c r="F629" s="6"/>
      <c r="G629" s="6"/>
      <c r="J629" s="6"/>
    </row>
    <row r="630">
      <c r="B630" s="6"/>
      <c r="C630" s="6"/>
      <c r="D630" s="6"/>
      <c r="E630" s="6"/>
      <c r="F630" s="6"/>
      <c r="G630" s="6"/>
      <c r="J630" s="6"/>
    </row>
    <row r="631">
      <c r="B631" s="6"/>
      <c r="C631" s="6"/>
      <c r="D631" s="6"/>
      <c r="E631" s="6"/>
      <c r="F631" s="6"/>
      <c r="G631" s="6"/>
      <c r="J631" s="6"/>
    </row>
    <row r="632">
      <c r="B632" s="6"/>
      <c r="C632" s="6"/>
      <c r="D632" s="6"/>
      <c r="E632" s="6"/>
      <c r="F632" s="6"/>
      <c r="G632" s="6"/>
      <c r="J632" s="6"/>
    </row>
    <row r="633">
      <c r="B633" s="6"/>
      <c r="C633" s="6"/>
      <c r="D633" s="6"/>
      <c r="E633" s="6"/>
      <c r="F633" s="6"/>
      <c r="G633" s="6"/>
      <c r="J633" s="6"/>
    </row>
    <row r="634">
      <c r="B634" s="6"/>
      <c r="C634" s="6"/>
      <c r="D634" s="6"/>
      <c r="E634" s="6"/>
      <c r="F634" s="6"/>
      <c r="G634" s="6"/>
      <c r="J634" s="6"/>
    </row>
    <row r="635">
      <c r="B635" s="6"/>
      <c r="C635" s="6"/>
      <c r="D635" s="6"/>
      <c r="E635" s="6"/>
      <c r="F635" s="6"/>
      <c r="G635" s="6"/>
      <c r="J635" s="6"/>
    </row>
    <row r="636">
      <c r="B636" s="6"/>
      <c r="C636" s="6"/>
      <c r="D636" s="6"/>
      <c r="E636" s="6"/>
      <c r="F636" s="6"/>
      <c r="G636" s="6"/>
      <c r="J636" s="6"/>
    </row>
    <row r="637">
      <c r="B637" s="6"/>
      <c r="C637" s="6"/>
      <c r="D637" s="6"/>
      <c r="E637" s="6"/>
      <c r="F637" s="6"/>
      <c r="G637" s="6"/>
      <c r="J637" s="6"/>
    </row>
    <row r="638">
      <c r="B638" s="6"/>
      <c r="C638" s="6"/>
      <c r="D638" s="6"/>
      <c r="E638" s="6"/>
      <c r="F638" s="6"/>
      <c r="G638" s="6"/>
      <c r="J638" s="6"/>
    </row>
    <row r="639">
      <c r="B639" s="6"/>
      <c r="C639" s="6"/>
      <c r="D639" s="6"/>
      <c r="E639" s="6"/>
      <c r="F639" s="6"/>
      <c r="G639" s="6"/>
      <c r="J639" s="6"/>
    </row>
    <row r="640">
      <c r="B640" s="6"/>
      <c r="C640" s="6"/>
      <c r="D640" s="6"/>
      <c r="E640" s="6"/>
      <c r="F640" s="6"/>
      <c r="G640" s="6"/>
      <c r="J640" s="6"/>
    </row>
    <row r="641">
      <c r="B641" s="6"/>
      <c r="C641" s="6"/>
      <c r="D641" s="6"/>
      <c r="E641" s="6"/>
      <c r="F641" s="6"/>
      <c r="G641" s="6"/>
      <c r="J641" s="6"/>
    </row>
    <row r="642">
      <c r="B642" s="6"/>
      <c r="C642" s="6"/>
      <c r="D642" s="6"/>
      <c r="E642" s="6"/>
      <c r="F642" s="6"/>
      <c r="G642" s="6"/>
      <c r="J642" s="6"/>
    </row>
    <row r="643">
      <c r="B643" s="6"/>
      <c r="C643" s="6"/>
      <c r="D643" s="6"/>
      <c r="E643" s="6"/>
      <c r="F643" s="6"/>
      <c r="G643" s="6"/>
      <c r="J643" s="6"/>
    </row>
    <row r="644">
      <c r="B644" s="6"/>
      <c r="C644" s="6"/>
      <c r="D644" s="6"/>
      <c r="E644" s="6"/>
      <c r="F644" s="6"/>
      <c r="G644" s="6"/>
      <c r="J644" s="6"/>
    </row>
    <row r="645">
      <c r="B645" s="6"/>
      <c r="C645" s="6"/>
      <c r="D645" s="6"/>
      <c r="E645" s="6"/>
      <c r="F645" s="6"/>
      <c r="G645" s="6"/>
      <c r="J645" s="6"/>
    </row>
    <row r="646">
      <c r="B646" s="6"/>
      <c r="C646" s="6"/>
      <c r="D646" s="6"/>
      <c r="E646" s="6"/>
      <c r="F646" s="6"/>
      <c r="G646" s="6"/>
      <c r="J646" s="6"/>
    </row>
    <row r="647">
      <c r="B647" s="6"/>
      <c r="C647" s="6"/>
      <c r="D647" s="6"/>
      <c r="E647" s="6"/>
      <c r="F647" s="6"/>
      <c r="G647" s="6"/>
      <c r="J647" s="6"/>
    </row>
    <row r="648">
      <c r="B648" s="6"/>
      <c r="C648" s="6"/>
      <c r="D648" s="6"/>
      <c r="E648" s="6"/>
      <c r="F648" s="6"/>
      <c r="G648" s="6"/>
      <c r="J648" s="6"/>
    </row>
    <row r="649">
      <c r="B649" s="6"/>
      <c r="C649" s="6"/>
      <c r="D649" s="6"/>
      <c r="E649" s="6"/>
      <c r="F649" s="6"/>
      <c r="G649" s="6"/>
      <c r="J649" s="6"/>
    </row>
    <row r="650">
      <c r="B650" s="6"/>
      <c r="C650" s="6"/>
      <c r="D650" s="6"/>
      <c r="E650" s="6"/>
      <c r="F650" s="6"/>
      <c r="G650" s="6"/>
      <c r="J650" s="6"/>
    </row>
    <row r="651">
      <c r="B651" s="6"/>
      <c r="C651" s="6"/>
      <c r="D651" s="6"/>
      <c r="E651" s="6"/>
      <c r="F651" s="6"/>
      <c r="G651" s="6"/>
      <c r="J651" s="6"/>
    </row>
    <row r="652">
      <c r="B652" s="6"/>
      <c r="C652" s="6"/>
      <c r="D652" s="6"/>
      <c r="E652" s="6"/>
      <c r="F652" s="6"/>
      <c r="G652" s="6"/>
      <c r="J652" s="6"/>
    </row>
    <row r="653">
      <c r="B653" s="6"/>
      <c r="C653" s="6"/>
      <c r="D653" s="6"/>
      <c r="E653" s="6"/>
      <c r="F653" s="6"/>
      <c r="G653" s="6"/>
      <c r="J653" s="6"/>
    </row>
    <row r="654">
      <c r="B654" s="6"/>
      <c r="C654" s="6"/>
      <c r="D654" s="6"/>
      <c r="E654" s="6"/>
      <c r="F654" s="6"/>
      <c r="G654" s="6"/>
      <c r="J654" s="6"/>
    </row>
    <row r="655">
      <c r="B655" s="6"/>
      <c r="C655" s="6"/>
      <c r="D655" s="6"/>
      <c r="E655" s="6"/>
      <c r="F655" s="6"/>
      <c r="G655" s="6"/>
      <c r="J655" s="6"/>
    </row>
    <row r="656">
      <c r="B656" s="6"/>
      <c r="C656" s="6"/>
      <c r="D656" s="6"/>
      <c r="E656" s="6"/>
      <c r="F656" s="6"/>
      <c r="G656" s="6"/>
      <c r="J656" s="6"/>
    </row>
    <row r="657">
      <c r="B657" s="6"/>
      <c r="C657" s="6"/>
      <c r="D657" s="6"/>
      <c r="E657" s="6"/>
      <c r="F657" s="6"/>
      <c r="G657" s="6"/>
      <c r="J657" s="6"/>
    </row>
    <row r="658">
      <c r="B658" s="6"/>
      <c r="C658" s="6"/>
      <c r="D658" s="6"/>
      <c r="E658" s="6"/>
      <c r="F658" s="6"/>
      <c r="G658" s="6"/>
      <c r="J658" s="6"/>
    </row>
    <row r="659">
      <c r="B659" s="6"/>
      <c r="C659" s="6"/>
      <c r="D659" s="6"/>
      <c r="E659" s="6"/>
      <c r="F659" s="6"/>
      <c r="G659" s="6"/>
      <c r="J659" s="6"/>
    </row>
    <row r="660">
      <c r="B660" s="6"/>
      <c r="C660" s="6"/>
      <c r="D660" s="6"/>
      <c r="E660" s="6"/>
      <c r="F660" s="6"/>
      <c r="G660" s="6"/>
      <c r="J660" s="6"/>
    </row>
    <row r="661">
      <c r="B661" s="6"/>
      <c r="C661" s="6"/>
      <c r="D661" s="6"/>
      <c r="E661" s="6"/>
      <c r="F661" s="6"/>
      <c r="G661" s="6"/>
      <c r="J661" s="6"/>
    </row>
    <row r="662">
      <c r="B662" s="6"/>
      <c r="C662" s="6"/>
      <c r="D662" s="6"/>
      <c r="E662" s="6"/>
      <c r="F662" s="6"/>
      <c r="G662" s="6"/>
      <c r="J662" s="6"/>
    </row>
    <row r="663">
      <c r="B663" s="6"/>
      <c r="C663" s="6"/>
      <c r="D663" s="6"/>
      <c r="E663" s="6"/>
      <c r="F663" s="6"/>
      <c r="G663" s="6"/>
      <c r="J663" s="6"/>
    </row>
    <row r="664">
      <c r="B664" s="6"/>
      <c r="C664" s="6"/>
      <c r="D664" s="6"/>
      <c r="E664" s="6"/>
      <c r="F664" s="6"/>
      <c r="G664" s="6"/>
      <c r="J664" s="6"/>
    </row>
    <row r="665">
      <c r="B665" s="6"/>
      <c r="C665" s="6"/>
      <c r="D665" s="6"/>
      <c r="E665" s="6"/>
      <c r="F665" s="6"/>
      <c r="G665" s="6"/>
      <c r="J665" s="6"/>
    </row>
    <row r="666">
      <c r="B666" s="6"/>
      <c r="C666" s="6"/>
      <c r="D666" s="6"/>
      <c r="E666" s="6"/>
      <c r="F666" s="6"/>
      <c r="G666" s="6"/>
      <c r="J666" s="6"/>
    </row>
    <row r="667">
      <c r="B667" s="6"/>
      <c r="C667" s="6"/>
      <c r="D667" s="6"/>
      <c r="E667" s="6"/>
      <c r="F667" s="6"/>
      <c r="G667" s="6"/>
      <c r="J667" s="6"/>
    </row>
    <row r="668">
      <c r="B668" s="6"/>
      <c r="C668" s="6"/>
      <c r="D668" s="6"/>
      <c r="E668" s="6"/>
      <c r="F668" s="6"/>
      <c r="G668" s="6"/>
      <c r="J668" s="6"/>
    </row>
    <row r="669">
      <c r="B669" s="6"/>
      <c r="C669" s="6"/>
      <c r="D669" s="6"/>
      <c r="E669" s="6"/>
      <c r="F669" s="6"/>
      <c r="G669" s="6"/>
      <c r="J669" s="6"/>
    </row>
    <row r="670">
      <c r="B670" s="6"/>
      <c r="C670" s="6"/>
      <c r="D670" s="6"/>
      <c r="E670" s="6"/>
      <c r="F670" s="6"/>
      <c r="G670" s="6"/>
      <c r="J670" s="6"/>
    </row>
    <row r="671">
      <c r="B671" s="6"/>
      <c r="C671" s="6"/>
      <c r="D671" s="6"/>
      <c r="E671" s="6"/>
      <c r="F671" s="6"/>
      <c r="G671" s="6"/>
      <c r="J671" s="6"/>
    </row>
    <row r="672">
      <c r="B672" s="6"/>
      <c r="C672" s="6"/>
      <c r="D672" s="6"/>
      <c r="E672" s="6"/>
      <c r="F672" s="6"/>
      <c r="G672" s="6"/>
      <c r="J672" s="6"/>
    </row>
    <row r="673">
      <c r="B673" s="6"/>
      <c r="C673" s="6"/>
      <c r="D673" s="6"/>
      <c r="E673" s="6"/>
      <c r="F673" s="6"/>
      <c r="G673" s="6"/>
      <c r="J673" s="6"/>
    </row>
    <row r="674">
      <c r="B674" s="6"/>
      <c r="C674" s="6"/>
      <c r="D674" s="6"/>
      <c r="E674" s="6"/>
      <c r="F674" s="6"/>
      <c r="G674" s="6"/>
      <c r="J674" s="6"/>
    </row>
    <row r="675">
      <c r="B675" s="6"/>
      <c r="C675" s="6"/>
      <c r="D675" s="6"/>
      <c r="E675" s="6"/>
      <c r="F675" s="6"/>
      <c r="G675" s="6"/>
      <c r="J675" s="6"/>
    </row>
    <row r="676">
      <c r="B676" s="6"/>
      <c r="C676" s="6"/>
      <c r="D676" s="6"/>
      <c r="E676" s="6"/>
      <c r="F676" s="6"/>
      <c r="G676" s="6"/>
      <c r="J676" s="6"/>
    </row>
    <row r="677">
      <c r="B677" s="6"/>
      <c r="C677" s="6"/>
      <c r="D677" s="6"/>
      <c r="E677" s="6"/>
      <c r="F677" s="6"/>
      <c r="G677" s="6"/>
      <c r="J677" s="6"/>
    </row>
    <row r="678">
      <c r="B678" s="6"/>
      <c r="C678" s="6"/>
      <c r="D678" s="6"/>
      <c r="E678" s="6"/>
      <c r="F678" s="6"/>
      <c r="G678" s="6"/>
      <c r="J678" s="6"/>
    </row>
    <row r="679">
      <c r="B679" s="6"/>
      <c r="C679" s="6"/>
      <c r="D679" s="6"/>
      <c r="E679" s="6"/>
      <c r="F679" s="6"/>
      <c r="G679" s="6"/>
      <c r="J679" s="6"/>
    </row>
    <row r="680">
      <c r="B680" s="6"/>
      <c r="C680" s="6"/>
      <c r="D680" s="6"/>
      <c r="E680" s="6"/>
      <c r="F680" s="6"/>
      <c r="G680" s="6"/>
      <c r="J680" s="6"/>
    </row>
    <row r="681">
      <c r="B681" s="6"/>
      <c r="C681" s="6"/>
      <c r="D681" s="6"/>
      <c r="E681" s="6"/>
      <c r="F681" s="6"/>
      <c r="G681" s="6"/>
      <c r="J681" s="6"/>
    </row>
    <row r="682">
      <c r="B682" s="6"/>
      <c r="C682" s="6"/>
      <c r="D682" s="6"/>
      <c r="E682" s="6"/>
      <c r="F682" s="6"/>
      <c r="G682" s="6"/>
      <c r="J682" s="6"/>
    </row>
    <row r="683">
      <c r="B683" s="6"/>
      <c r="C683" s="6"/>
      <c r="D683" s="6"/>
      <c r="E683" s="6"/>
      <c r="F683" s="6"/>
      <c r="G683" s="6"/>
      <c r="J683" s="6"/>
    </row>
    <row r="684">
      <c r="B684" s="6"/>
      <c r="C684" s="6"/>
      <c r="D684" s="6"/>
      <c r="E684" s="6"/>
      <c r="F684" s="6"/>
      <c r="G684" s="6"/>
      <c r="J684" s="6"/>
    </row>
    <row r="685">
      <c r="B685" s="6"/>
      <c r="C685" s="6"/>
      <c r="D685" s="6"/>
      <c r="E685" s="6"/>
      <c r="F685" s="6"/>
      <c r="G685" s="6"/>
      <c r="J685" s="6"/>
    </row>
    <row r="686">
      <c r="B686" s="6"/>
      <c r="C686" s="6"/>
      <c r="D686" s="6"/>
      <c r="E686" s="6"/>
      <c r="F686" s="6"/>
      <c r="G686" s="6"/>
      <c r="J686" s="6"/>
    </row>
    <row r="687">
      <c r="B687" s="6"/>
      <c r="C687" s="6"/>
      <c r="D687" s="6"/>
      <c r="E687" s="6"/>
      <c r="F687" s="6"/>
      <c r="G687" s="6"/>
      <c r="J687" s="6"/>
    </row>
    <row r="688">
      <c r="B688" s="6"/>
      <c r="C688" s="6"/>
      <c r="D688" s="6"/>
      <c r="E688" s="6"/>
      <c r="F688" s="6"/>
      <c r="G688" s="6"/>
      <c r="J688" s="6"/>
    </row>
    <row r="689">
      <c r="B689" s="6"/>
      <c r="C689" s="6"/>
      <c r="D689" s="6"/>
      <c r="E689" s="6"/>
      <c r="F689" s="6"/>
      <c r="G689" s="6"/>
      <c r="J689" s="6"/>
    </row>
    <row r="690">
      <c r="B690" s="6"/>
      <c r="C690" s="6"/>
      <c r="D690" s="6"/>
      <c r="E690" s="6"/>
      <c r="F690" s="6"/>
      <c r="G690" s="6"/>
      <c r="J690" s="6"/>
    </row>
    <row r="691">
      <c r="B691" s="6"/>
      <c r="C691" s="6"/>
      <c r="D691" s="6"/>
      <c r="E691" s="6"/>
      <c r="F691" s="6"/>
      <c r="G691" s="6"/>
      <c r="J691" s="6"/>
    </row>
    <row r="692">
      <c r="B692" s="6"/>
      <c r="C692" s="6"/>
      <c r="D692" s="6"/>
      <c r="E692" s="6"/>
      <c r="F692" s="6"/>
      <c r="G692" s="6"/>
      <c r="J692" s="6"/>
    </row>
    <row r="693">
      <c r="B693" s="6"/>
      <c r="C693" s="6"/>
      <c r="D693" s="6"/>
      <c r="E693" s="6"/>
      <c r="F693" s="6"/>
      <c r="G693" s="6"/>
      <c r="J693" s="6"/>
    </row>
    <row r="694">
      <c r="B694" s="6"/>
      <c r="C694" s="6"/>
      <c r="D694" s="6"/>
      <c r="E694" s="6"/>
      <c r="F694" s="6"/>
      <c r="G694" s="6"/>
      <c r="J694" s="6"/>
    </row>
    <row r="695">
      <c r="B695" s="6"/>
      <c r="C695" s="6"/>
      <c r="D695" s="6"/>
      <c r="E695" s="6"/>
      <c r="F695" s="6"/>
      <c r="G695" s="6"/>
      <c r="J695" s="6"/>
    </row>
    <row r="696">
      <c r="B696" s="6"/>
      <c r="C696" s="6"/>
      <c r="D696" s="6"/>
      <c r="E696" s="6"/>
      <c r="F696" s="6"/>
      <c r="G696" s="6"/>
      <c r="J696" s="6"/>
    </row>
    <row r="697">
      <c r="B697" s="6"/>
      <c r="C697" s="6"/>
      <c r="D697" s="6"/>
      <c r="E697" s="6"/>
      <c r="F697" s="6"/>
      <c r="G697" s="6"/>
      <c r="J697" s="6"/>
    </row>
    <row r="698">
      <c r="B698" s="6"/>
      <c r="C698" s="6"/>
      <c r="D698" s="6"/>
      <c r="E698" s="6"/>
      <c r="F698" s="6"/>
      <c r="G698" s="6"/>
      <c r="J698" s="6"/>
    </row>
    <row r="699">
      <c r="B699" s="6"/>
      <c r="C699" s="6"/>
      <c r="D699" s="6"/>
      <c r="E699" s="6"/>
      <c r="F699" s="6"/>
      <c r="G699" s="6"/>
      <c r="J699" s="6"/>
    </row>
    <row r="700">
      <c r="B700" s="6"/>
      <c r="C700" s="6"/>
      <c r="D700" s="6"/>
      <c r="E700" s="6"/>
      <c r="F700" s="6"/>
      <c r="G700" s="6"/>
      <c r="J700" s="6"/>
    </row>
    <row r="701">
      <c r="B701" s="6"/>
      <c r="C701" s="6"/>
      <c r="D701" s="6"/>
      <c r="E701" s="6"/>
      <c r="F701" s="6"/>
      <c r="G701" s="6"/>
      <c r="J701" s="6"/>
    </row>
    <row r="702">
      <c r="B702" s="6"/>
      <c r="C702" s="6"/>
      <c r="D702" s="6"/>
      <c r="E702" s="6"/>
      <c r="F702" s="6"/>
      <c r="G702" s="6"/>
      <c r="J702" s="6"/>
    </row>
    <row r="703">
      <c r="B703" s="6"/>
      <c r="C703" s="6"/>
      <c r="D703" s="6"/>
      <c r="E703" s="6"/>
      <c r="F703" s="6"/>
      <c r="G703" s="6"/>
      <c r="J703" s="6"/>
    </row>
    <row r="704">
      <c r="B704" s="6"/>
      <c r="C704" s="6"/>
      <c r="D704" s="6"/>
      <c r="E704" s="6"/>
      <c r="F704" s="6"/>
      <c r="G704" s="6"/>
      <c r="J704" s="6"/>
    </row>
    <row r="705">
      <c r="B705" s="6"/>
      <c r="C705" s="6"/>
      <c r="D705" s="6"/>
      <c r="E705" s="6"/>
      <c r="F705" s="6"/>
      <c r="G705" s="6"/>
      <c r="J705" s="6"/>
    </row>
    <row r="706">
      <c r="B706" s="6"/>
      <c r="C706" s="6"/>
      <c r="D706" s="6"/>
      <c r="E706" s="6"/>
      <c r="F706" s="6"/>
      <c r="G706" s="6"/>
      <c r="J706" s="6"/>
    </row>
    <row r="707">
      <c r="B707" s="6"/>
      <c r="C707" s="6"/>
      <c r="D707" s="6"/>
      <c r="E707" s="6"/>
      <c r="F707" s="6"/>
      <c r="G707" s="6"/>
      <c r="J707" s="6"/>
    </row>
    <row r="708">
      <c r="B708" s="6"/>
      <c r="C708" s="6"/>
      <c r="D708" s="6"/>
      <c r="E708" s="6"/>
      <c r="F708" s="6"/>
      <c r="G708" s="6"/>
      <c r="J708" s="6"/>
    </row>
    <row r="709">
      <c r="B709" s="6"/>
      <c r="C709" s="6"/>
      <c r="D709" s="6"/>
      <c r="E709" s="6"/>
      <c r="F709" s="6"/>
      <c r="G709" s="6"/>
      <c r="J709" s="6"/>
    </row>
    <row r="710">
      <c r="B710" s="6"/>
      <c r="C710" s="6"/>
      <c r="D710" s="6"/>
      <c r="E710" s="6"/>
      <c r="F710" s="6"/>
      <c r="G710" s="6"/>
      <c r="J710" s="6"/>
    </row>
    <row r="711">
      <c r="B711" s="6"/>
      <c r="C711" s="6"/>
      <c r="D711" s="6"/>
      <c r="E711" s="6"/>
      <c r="F711" s="6"/>
      <c r="G711" s="6"/>
      <c r="J711" s="6"/>
    </row>
    <row r="712">
      <c r="B712" s="6"/>
      <c r="C712" s="6"/>
      <c r="D712" s="6"/>
      <c r="E712" s="6"/>
      <c r="F712" s="6"/>
      <c r="G712" s="6"/>
      <c r="J712" s="6"/>
    </row>
    <row r="713">
      <c r="B713" s="6"/>
      <c r="C713" s="6"/>
      <c r="D713" s="6"/>
      <c r="E713" s="6"/>
      <c r="F713" s="6"/>
      <c r="G713" s="6"/>
      <c r="J713" s="6"/>
    </row>
    <row r="714">
      <c r="B714" s="6"/>
      <c r="C714" s="6"/>
      <c r="D714" s="6"/>
      <c r="E714" s="6"/>
      <c r="F714" s="6"/>
      <c r="G714" s="6"/>
      <c r="J714" s="6"/>
    </row>
    <row r="715">
      <c r="B715" s="6"/>
      <c r="C715" s="6"/>
      <c r="D715" s="6"/>
      <c r="E715" s="6"/>
      <c r="F715" s="6"/>
      <c r="G715" s="6"/>
      <c r="J715" s="6"/>
    </row>
    <row r="716">
      <c r="B716" s="6"/>
      <c r="C716" s="6"/>
      <c r="D716" s="6"/>
      <c r="E716" s="6"/>
      <c r="F716" s="6"/>
      <c r="G716" s="6"/>
      <c r="J716" s="6"/>
    </row>
    <row r="717">
      <c r="B717" s="6"/>
      <c r="C717" s="6"/>
      <c r="D717" s="6"/>
      <c r="E717" s="6"/>
      <c r="F717" s="6"/>
      <c r="G717" s="6"/>
      <c r="J717" s="6"/>
    </row>
    <row r="718">
      <c r="B718" s="6"/>
      <c r="C718" s="6"/>
      <c r="D718" s="6"/>
      <c r="E718" s="6"/>
      <c r="F718" s="6"/>
      <c r="G718" s="6"/>
      <c r="J718" s="6"/>
    </row>
    <row r="719">
      <c r="B719" s="6"/>
      <c r="C719" s="6"/>
      <c r="D719" s="6"/>
      <c r="E719" s="6"/>
      <c r="F719" s="6"/>
      <c r="G719" s="6"/>
      <c r="J719" s="6"/>
    </row>
    <row r="720">
      <c r="B720" s="6"/>
      <c r="C720" s="6"/>
      <c r="D720" s="6"/>
      <c r="E720" s="6"/>
      <c r="F720" s="6"/>
      <c r="G720" s="6"/>
      <c r="J720" s="6"/>
    </row>
    <row r="721">
      <c r="B721" s="6"/>
      <c r="C721" s="6"/>
      <c r="D721" s="6"/>
      <c r="E721" s="6"/>
      <c r="F721" s="6"/>
      <c r="G721" s="6"/>
      <c r="J721" s="6"/>
    </row>
    <row r="722">
      <c r="B722" s="6"/>
      <c r="C722" s="6"/>
      <c r="D722" s="6"/>
      <c r="E722" s="6"/>
      <c r="F722" s="6"/>
      <c r="G722" s="6"/>
      <c r="J722" s="6"/>
    </row>
    <row r="723">
      <c r="B723" s="6"/>
      <c r="C723" s="6"/>
      <c r="D723" s="6"/>
      <c r="E723" s="6"/>
      <c r="F723" s="6"/>
      <c r="G723" s="6"/>
      <c r="J723" s="6"/>
    </row>
    <row r="724">
      <c r="B724" s="6"/>
      <c r="C724" s="6"/>
      <c r="D724" s="6"/>
      <c r="E724" s="6"/>
      <c r="F724" s="6"/>
      <c r="G724" s="6"/>
      <c r="J724" s="6"/>
    </row>
    <row r="725">
      <c r="B725" s="6"/>
      <c r="C725" s="6"/>
      <c r="D725" s="6"/>
      <c r="E725" s="6"/>
      <c r="F725" s="6"/>
      <c r="G725" s="6"/>
      <c r="J725" s="6"/>
    </row>
    <row r="726">
      <c r="B726" s="6"/>
      <c r="C726" s="6"/>
      <c r="D726" s="6"/>
      <c r="E726" s="6"/>
      <c r="F726" s="6"/>
      <c r="G726" s="6"/>
      <c r="J726" s="6"/>
    </row>
    <row r="727">
      <c r="B727" s="6"/>
      <c r="C727" s="6"/>
      <c r="D727" s="6"/>
      <c r="E727" s="6"/>
      <c r="F727" s="6"/>
      <c r="G727" s="6"/>
      <c r="J727" s="6"/>
    </row>
    <row r="728">
      <c r="B728" s="6"/>
      <c r="C728" s="6"/>
      <c r="D728" s="6"/>
      <c r="E728" s="6"/>
      <c r="F728" s="6"/>
      <c r="G728" s="6"/>
      <c r="J728" s="6"/>
    </row>
    <row r="729">
      <c r="B729" s="6"/>
      <c r="C729" s="6"/>
      <c r="D729" s="6"/>
      <c r="E729" s="6"/>
      <c r="F729" s="6"/>
      <c r="G729" s="6"/>
      <c r="J729" s="6"/>
    </row>
    <row r="730">
      <c r="B730" s="6"/>
      <c r="C730" s="6"/>
      <c r="D730" s="6"/>
      <c r="E730" s="6"/>
      <c r="F730" s="6"/>
      <c r="G730" s="6"/>
      <c r="J730" s="6"/>
    </row>
    <row r="731">
      <c r="B731" s="6"/>
      <c r="C731" s="6"/>
      <c r="D731" s="6"/>
      <c r="E731" s="6"/>
      <c r="F731" s="6"/>
      <c r="G731" s="6"/>
      <c r="J731" s="6"/>
    </row>
    <row r="732">
      <c r="B732" s="6"/>
      <c r="C732" s="6"/>
      <c r="D732" s="6"/>
      <c r="E732" s="6"/>
      <c r="F732" s="6"/>
      <c r="G732" s="6"/>
      <c r="J732" s="6"/>
    </row>
    <row r="733">
      <c r="B733" s="6"/>
      <c r="C733" s="6"/>
      <c r="D733" s="6"/>
      <c r="E733" s="6"/>
      <c r="F733" s="6"/>
      <c r="G733" s="6"/>
      <c r="J733" s="6"/>
    </row>
    <row r="734">
      <c r="B734" s="6"/>
      <c r="C734" s="6"/>
      <c r="D734" s="6"/>
      <c r="E734" s="6"/>
      <c r="F734" s="6"/>
      <c r="G734" s="6"/>
      <c r="J734" s="6"/>
    </row>
    <row r="735">
      <c r="B735" s="6"/>
      <c r="C735" s="6"/>
      <c r="D735" s="6"/>
      <c r="E735" s="6"/>
      <c r="F735" s="6"/>
      <c r="G735" s="6"/>
      <c r="J735" s="6"/>
    </row>
    <row r="736">
      <c r="B736" s="6"/>
      <c r="C736" s="6"/>
      <c r="D736" s="6"/>
      <c r="E736" s="6"/>
      <c r="F736" s="6"/>
      <c r="G736" s="6"/>
      <c r="J736" s="6"/>
    </row>
    <row r="737">
      <c r="B737" s="6"/>
      <c r="C737" s="6"/>
      <c r="D737" s="6"/>
      <c r="E737" s="6"/>
      <c r="F737" s="6"/>
      <c r="G737" s="6"/>
      <c r="J737" s="6"/>
    </row>
    <row r="738">
      <c r="B738" s="6"/>
      <c r="C738" s="6"/>
      <c r="D738" s="6"/>
      <c r="E738" s="6"/>
      <c r="F738" s="6"/>
      <c r="G738" s="6"/>
      <c r="J738" s="6"/>
    </row>
    <row r="739">
      <c r="B739" s="6"/>
      <c r="C739" s="6"/>
      <c r="D739" s="6"/>
      <c r="E739" s="6"/>
      <c r="F739" s="6"/>
      <c r="G739" s="6"/>
      <c r="J739" s="6"/>
    </row>
    <row r="740">
      <c r="B740" s="6"/>
      <c r="C740" s="6"/>
      <c r="D740" s="6"/>
      <c r="E740" s="6"/>
      <c r="F740" s="6"/>
      <c r="G740" s="6"/>
      <c r="J740" s="6"/>
    </row>
    <row r="741">
      <c r="B741" s="6"/>
      <c r="C741" s="6"/>
      <c r="D741" s="6"/>
      <c r="E741" s="6"/>
      <c r="F741" s="6"/>
      <c r="G741" s="6"/>
      <c r="J741" s="6"/>
    </row>
    <row r="742">
      <c r="B742" s="6"/>
      <c r="C742" s="6"/>
      <c r="D742" s="6"/>
      <c r="E742" s="6"/>
      <c r="F742" s="6"/>
      <c r="G742" s="6"/>
      <c r="J742" s="6"/>
    </row>
    <row r="743">
      <c r="B743" s="6"/>
      <c r="C743" s="6"/>
      <c r="D743" s="6"/>
      <c r="E743" s="6"/>
      <c r="F743" s="6"/>
      <c r="G743" s="6"/>
      <c r="J743" s="6"/>
    </row>
    <row r="744">
      <c r="B744" s="6"/>
      <c r="C744" s="6"/>
      <c r="D744" s="6"/>
      <c r="E744" s="6"/>
      <c r="F744" s="6"/>
      <c r="G744" s="6"/>
      <c r="J744" s="6"/>
    </row>
    <row r="745">
      <c r="B745" s="6"/>
      <c r="C745" s="6"/>
      <c r="D745" s="6"/>
      <c r="E745" s="6"/>
      <c r="F745" s="6"/>
      <c r="G745" s="6"/>
      <c r="J745" s="6"/>
    </row>
    <row r="746">
      <c r="B746" s="6"/>
      <c r="C746" s="6"/>
      <c r="D746" s="6"/>
      <c r="E746" s="6"/>
      <c r="F746" s="6"/>
      <c r="G746" s="6"/>
      <c r="J746" s="6"/>
    </row>
    <row r="747">
      <c r="B747" s="6"/>
      <c r="C747" s="6"/>
      <c r="D747" s="6"/>
      <c r="E747" s="6"/>
      <c r="F747" s="6"/>
      <c r="G747" s="6"/>
      <c r="J747" s="6"/>
    </row>
    <row r="748">
      <c r="B748" s="6"/>
      <c r="C748" s="6"/>
      <c r="D748" s="6"/>
      <c r="E748" s="6"/>
      <c r="F748" s="6"/>
      <c r="G748" s="6"/>
      <c r="J748" s="6"/>
    </row>
    <row r="749">
      <c r="B749" s="6"/>
      <c r="C749" s="6"/>
      <c r="D749" s="6"/>
      <c r="E749" s="6"/>
      <c r="F749" s="6"/>
      <c r="G749" s="6"/>
      <c r="J749" s="6"/>
    </row>
    <row r="750">
      <c r="B750" s="6"/>
      <c r="C750" s="6"/>
      <c r="D750" s="6"/>
      <c r="E750" s="6"/>
      <c r="F750" s="6"/>
      <c r="G750" s="6"/>
      <c r="J750" s="6"/>
    </row>
    <row r="751">
      <c r="B751" s="6"/>
      <c r="C751" s="6"/>
      <c r="D751" s="6"/>
      <c r="E751" s="6"/>
      <c r="F751" s="6"/>
      <c r="G751" s="6"/>
      <c r="J751" s="6"/>
    </row>
    <row r="752">
      <c r="B752" s="6"/>
      <c r="C752" s="6"/>
      <c r="D752" s="6"/>
      <c r="E752" s="6"/>
      <c r="F752" s="6"/>
      <c r="G752" s="6"/>
      <c r="J752" s="6"/>
    </row>
    <row r="753">
      <c r="B753" s="6"/>
      <c r="C753" s="6"/>
      <c r="D753" s="6"/>
      <c r="E753" s="6"/>
      <c r="F753" s="6"/>
      <c r="G753" s="6"/>
      <c r="J753" s="6"/>
    </row>
    <row r="754">
      <c r="B754" s="6"/>
      <c r="C754" s="6"/>
      <c r="D754" s="6"/>
      <c r="E754" s="6"/>
      <c r="F754" s="6"/>
      <c r="G754" s="6"/>
      <c r="J754" s="6"/>
    </row>
    <row r="755">
      <c r="B755" s="6"/>
      <c r="C755" s="6"/>
      <c r="D755" s="6"/>
      <c r="E755" s="6"/>
      <c r="F755" s="6"/>
      <c r="G755" s="6"/>
      <c r="J755" s="6"/>
    </row>
    <row r="756">
      <c r="B756" s="6"/>
      <c r="C756" s="6"/>
      <c r="D756" s="6"/>
      <c r="E756" s="6"/>
      <c r="F756" s="6"/>
      <c r="G756" s="6"/>
      <c r="J756" s="6"/>
    </row>
    <row r="757">
      <c r="B757" s="6"/>
      <c r="C757" s="6"/>
      <c r="D757" s="6"/>
      <c r="E757" s="6"/>
      <c r="F757" s="6"/>
      <c r="G757" s="6"/>
      <c r="J757" s="6"/>
    </row>
    <row r="758">
      <c r="B758" s="6"/>
      <c r="C758" s="6"/>
      <c r="D758" s="6"/>
      <c r="E758" s="6"/>
      <c r="F758" s="6"/>
      <c r="G758" s="6"/>
      <c r="J758" s="6"/>
    </row>
    <row r="759">
      <c r="B759" s="6"/>
      <c r="C759" s="6"/>
      <c r="D759" s="6"/>
      <c r="E759" s="6"/>
      <c r="F759" s="6"/>
      <c r="G759" s="6"/>
      <c r="J759" s="6"/>
    </row>
    <row r="760">
      <c r="B760" s="6"/>
      <c r="C760" s="6"/>
      <c r="D760" s="6"/>
      <c r="E760" s="6"/>
      <c r="F760" s="6"/>
      <c r="G760" s="6"/>
      <c r="J760" s="6"/>
    </row>
    <row r="761">
      <c r="B761" s="6"/>
      <c r="C761" s="6"/>
      <c r="D761" s="6"/>
      <c r="E761" s="6"/>
      <c r="F761" s="6"/>
      <c r="G761" s="6"/>
      <c r="J761" s="6"/>
    </row>
    <row r="762">
      <c r="B762" s="6"/>
      <c r="C762" s="6"/>
      <c r="D762" s="6"/>
      <c r="E762" s="6"/>
      <c r="F762" s="6"/>
      <c r="G762" s="6"/>
      <c r="J762" s="6"/>
    </row>
    <row r="763">
      <c r="B763" s="6"/>
      <c r="C763" s="6"/>
      <c r="D763" s="6"/>
      <c r="E763" s="6"/>
      <c r="F763" s="6"/>
      <c r="G763" s="6"/>
      <c r="J763" s="6"/>
    </row>
    <row r="764">
      <c r="B764" s="6"/>
      <c r="C764" s="6"/>
      <c r="D764" s="6"/>
      <c r="E764" s="6"/>
      <c r="F764" s="6"/>
      <c r="G764" s="6"/>
      <c r="J764" s="6"/>
    </row>
    <row r="765">
      <c r="B765" s="6"/>
      <c r="C765" s="6"/>
      <c r="D765" s="6"/>
      <c r="E765" s="6"/>
      <c r="F765" s="6"/>
      <c r="G765" s="6"/>
      <c r="J765" s="6"/>
    </row>
    <row r="766">
      <c r="B766" s="6"/>
      <c r="C766" s="6"/>
      <c r="D766" s="6"/>
      <c r="E766" s="6"/>
      <c r="F766" s="6"/>
      <c r="G766" s="6"/>
      <c r="J766" s="6"/>
    </row>
    <row r="767">
      <c r="B767" s="6"/>
      <c r="C767" s="6"/>
      <c r="D767" s="6"/>
      <c r="E767" s="6"/>
      <c r="F767" s="6"/>
      <c r="G767" s="6"/>
      <c r="J767" s="6"/>
    </row>
    <row r="768">
      <c r="B768" s="6"/>
      <c r="C768" s="6"/>
      <c r="D768" s="6"/>
      <c r="E768" s="6"/>
      <c r="F768" s="6"/>
      <c r="G768" s="6"/>
      <c r="J768" s="6"/>
    </row>
    <row r="769">
      <c r="B769" s="6"/>
      <c r="C769" s="6"/>
      <c r="D769" s="6"/>
      <c r="E769" s="6"/>
      <c r="F769" s="6"/>
      <c r="G769" s="6"/>
      <c r="J769" s="6"/>
    </row>
    <row r="770">
      <c r="B770" s="6"/>
      <c r="C770" s="6"/>
      <c r="D770" s="6"/>
      <c r="E770" s="6"/>
      <c r="F770" s="6"/>
      <c r="G770" s="6"/>
      <c r="J770" s="6"/>
    </row>
    <row r="771">
      <c r="B771" s="6"/>
      <c r="C771" s="6"/>
      <c r="D771" s="6"/>
      <c r="E771" s="6"/>
      <c r="F771" s="6"/>
      <c r="G771" s="6"/>
      <c r="J771" s="6"/>
    </row>
    <row r="772">
      <c r="B772" s="6"/>
      <c r="C772" s="6"/>
      <c r="D772" s="6"/>
      <c r="E772" s="6"/>
      <c r="F772" s="6"/>
      <c r="G772" s="6"/>
      <c r="J772" s="6"/>
    </row>
    <row r="773">
      <c r="B773" s="6"/>
      <c r="C773" s="6"/>
      <c r="D773" s="6"/>
      <c r="E773" s="6"/>
      <c r="F773" s="6"/>
      <c r="G773" s="6"/>
      <c r="J773" s="6"/>
    </row>
    <row r="774">
      <c r="B774" s="6"/>
      <c r="C774" s="6"/>
      <c r="D774" s="6"/>
      <c r="E774" s="6"/>
      <c r="F774" s="6"/>
      <c r="G774" s="6"/>
      <c r="J774" s="6"/>
    </row>
    <row r="775">
      <c r="B775" s="6"/>
      <c r="C775" s="6"/>
      <c r="D775" s="6"/>
      <c r="E775" s="6"/>
      <c r="F775" s="6"/>
      <c r="G775" s="6"/>
      <c r="J775" s="6"/>
    </row>
    <row r="776">
      <c r="B776" s="6"/>
      <c r="C776" s="6"/>
      <c r="D776" s="6"/>
      <c r="E776" s="6"/>
      <c r="F776" s="6"/>
      <c r="G776" s="6"/>
      <c r="J776" s="6"/>
    </row>
    <row r="777">
      <c r="B777" s="6"/>
      <c r="C777" s="6"/>
      <c r="D777" s="6"/>
      <c r="E777" s="6"/>
      <c r="F777" s="6"/>
      <c r="G777" s="6"/>
      <c r="J777" s="6"/>
    </row>
    <row r="778">
      <c r="B778" s="6"/>
      <c r="C778" s="6"/>
      <c r="D778" s="6"/>
      <c r="E778" s="6"/>
      <c r="F778" s="6"/>
      <c r="G778" s="6"/>
      <c r="J778" s="6"/>
    </row>
    <row r="779">
      <c r="B779" s="6"/>
      <c r="C779" s="6"/>
      <c r="D779" s="6"/>
      <c r="E779" s="6"/>
      <c r="F779" s="6"/>
      <c r="G779" s="6"/>
      <c r="J779" s="6"/>
    </row>
    <row r="780">
      <c r="B780" s="6"/>
      <c r="C780" s="6"/>
      <c r="D780" s="6"/>
      <c r="E780" s="6"/>
      <c r="F780" s="6"/>
      <c r="G780" s="6"/>
      <c r="J780" s="6"/>
    </row>
    <row r="781">
      <c r="B781" s="6"/>
      <c r="C781" s="6"/>
      <c r="D781" s="6"/>
      <c r="E781" s="6"/>
      <c r="F781" s="6"/>
      <c r="G781" s="6"/>
      <c r="J781" s="6"/>
    </row>
    <row r="782">
      <c r="B782" s="6"/>
      <c r="C782" s="6"/>
      <c r="D782" s="6"/>
      <c r="E782" s="6"/>
      <c r="F782" s="6"/>
      <c r="G782" s="6"/>
      <c r="J782" s="6"/>
    </row>
    <row r="783">
      <c r="B783" s="6"/>
      <c r="C783" s="6"/>
      <c r="D783" s="6"/>
      <c r="E783" s="6"/>
      <c r="F783" s="6"/>
      <c r="G783" s="6"/>
      <c r="J783" s="6"/>
    </row>
    <row r="784">
      <c r="B784" s="6"/>
      <c r="C784" s="6"/>
      <c r="D784" s="6"/>
      <c r="E784" s="6"/>
      <c r="F784" s="6"/>
      <c r="G784" s="6"/>
      <c r="J784" s="6"/>
    </row>
    <row r="785">
      <c r="B785" s="6"/>
      <c r="C785" s="6"/>
      <c r="D785" s="6"/>
      <c r="E785" s="6"/>
      <c r="F785" s="6"/>
      <c r="G785" s="6"/>
      <c r="J785" s="6"/>
    </row>
    <row r="786">
      <c r="B786" s="6"/>
      <c r="C786" s="6"/>
      <c r="D786" s="6"/>
      <c r="E786" s="6"/>
      <c r="F786" s="6"/>
      <c r="G786" s="6"/>
      <c r="J786" s="6"/>
    </row>
    <row r="787">
      <c r="B787" s="6"/>
      <c r="C787" s="6"/>
      <c r="D787" s="6"/>
      <c r="E787" s="6"/>
      <c r="F787" s="6"/>
      <c r="G787" s="6"/>
      <c r="J787" s="6"/>
    </row>
    <row r="788">
      <c r="B788" s="6"/>
      <c r="C788" s="6"/>
      <c r="D788" s="6"/>
      <c r="E788" s="6"/>
      <c r="F788" s="6"/>
      <c r="G788" s="6"/>
      <c r="J788" s="6"/>
    </row>
    <row r="789">
      <c r="B789" s="6"/>
      <c r="C789" s="6"/>
      <c r="D789" s="6"/>
      <c r="E789" s="6"/>
      <c r="F789" s="6"/>
      <c r="G789" s="6"/>
      <c r="J789" s="6"/>
    </row>
    <row r="790">
      <c r="B790" s="6"/>
      <c r="C790" s="6"/>
      <c r="D790" s="6"/>
      <c r="E790" s="6"/>
      <c r="F790" s="6"/>
      <c r="G790" s="6"/>
      <c r="J790" s="6"/>
    </row>
    <row r="791">
      <c r="B791" s="6"/>
      <c r="C791" s="6"/>
      <c r="D791" s="6"/>
      <c r="E791" s="6"/>
      <c r="F791" s="6"/>
      <c r="G791" s="6"/>
      <c r="J791" s="6"/>
    </row>
    <row r="792">
      <c r="B792" s="6"/>
      <c r="C792" s="6"/>
      <c r="D792" s="6"/>
      <c r="E792" s="6"/>
      <c r="F792" s="6"/>
      <c r="G792" s="6"/>
      <c r="J792" s="6"/>
    </row>
    <row r="793">
      <c r="B793" s="6"/>
      <c r="C793" s="6"/>
      <c r="D793" s="6"/>
      <c r="E793" s="6"/>
      <c r="F793" s="6"/>
      <c r="G793" s="6"/>
      <c r="J793" s="6"/>
    </row>
    <row r="794">
      <c r="B794" s="6"/>
      <c r="C794" s="6"/>
      <c r="D794" s="6"/>
      <c r="E794" s="6"/>
      <c r="F794" s="6"/>
      <c r="G794" s="6"/>
      <c r="J794" s="6"/>
    </row>
    <row r="795">
      <c r="B795" s="6"/>
      <c r="C795" s="6"/>
      <c r="D795" s="6"/>
      <c r="E795" s="6"/>
      <c r="F795" s="6"/>
      <c r="G795" s="6"/>
      <c r="J795" s="6"/>
    </row>
    <row r="796">
      <c r="B796" s="6"/>
      <c r="C796" s="6"/>
      <c r="D796" s="6"/>
      <c r="E796" s="6"/>
      <c r="F796" s="6"/>
      <c r="G796" s="6"/>
      <c r="J796" s="6"/>
    </row>
    <row r="797">
      <c r="B797" s="6"/>
      <c r="C797" s="6"/>
      <c r="D797" s="6"/>
      <c r="E797" s="6"/>
      <c r="F797" s="6"/>
      <c r="G797" s="6"/>
      <c r="J797" s="6"/>
    </row>
    <row r="798">
      <c r="B798" s="6"/>
      <c r="C798" s="6"/>
      <c r="D798" s="6"/>
      <c r="E798" s="6"/>
      <c r="F798" s="6"/>
      <c r="G798" s="6"/>
      <c r="J798" s="6"/>
    </row>
    <row r="799">
      <c r="B799" s="6"/>
      <c r="C799" s="6"/>
      <c r="D799" s="6"/>
      <c r="E799" s="6"/>
      <c r="F799" s="6"/>
      <c r="G799" s="6"/>
      <c r="J799" s="6"/>
    </row>
    <row r="800">
      <c r="B800" s="6"/>
      <c r="C800" s="6"/>
      <c r="D800" s="6"/>
      <c r="E800" s="6"/>
      <c r="F800" s="6"/>
      <c r="G800" s="6"/>
      <c r="J800" s="6"/>
    </row>
    <row r="801">
      <c r="B801" s="6"/>
      <c r="C801" s="6"/>
      <c r="D801" s="6"/>
      <c r="E801" s="6"/>
      <c r="F801" s="6"/>
      <c r="G801" s="6"/>
      <c r="J801" s="6"/>
    </row>
    <row r="802">
      <c r="B802" s="6"/>
      <c r="C802" s="6"/>
      <c r="D802" s="6"/>
      <c r="E802" s="6"/>
      <c r="F802" s="6"/>
      <c r="G802" s="6"/>
      <c r="J802" s="6"/>
    </row>
    <row r="803">
      <c r="B803" s="6"/>
      <c r="C803" s="6"/>
      <c r="D803" s="6"/>
      <c r="E803" s="6"/>
      <c r="F803" s="6"/>
      <c r="G803" s="6"/>
      <c r="J803" s="6"/>
    </row>
    <row r="804">
      <c r="B804" s="6"/>
      <c r="C804" s="6"/>
      <c r="D804" s="6"/>
      <c r="E804" s="6"/>
      <c r="F804" s="6"/>
      <c r="G804" s="6"/>
      <c r="J804" s="6"/>
    </row>
    <row r="805">
      <c r="B805" s="6"/>
      <c r="C805" s="6"/>
      <c r="D805" s="6"/>
      <c r="E805" s="6"/>
      <c r="F805" s="6"/>
      <c r="G805" s="6"/>
      <c r="J805" s="6"/>
    </row>
    <row r="806">
      <c r="B806" s="6"/>
      <c r="C806" s="6"/>
      <c r="D806" s="6"/>
      <c r="E806" s="6"/>
      <c r="F806" s="6"/>
      <c r="G806" s="6"/>
      <c r="J806" s="6"/>
    </row>
    <row r="807">
      <c r="B807" s="6"/>
      <c r="C807" s="6"/>
      <c r="D807" s="6"/>
      <c r="E807" s="6"/>
      <c r="F807" s="6"/>
      <c r="G807" s="6"/>
      <c r="J807" s="6"/>
    </row>
    <row r="808">
      <c r="B808" s="6"/>
      <c r="C808" s="6"/>
      <c r="D808" s="6"/>
      <c r="E808" s="6"/>
      <c r="F808" s="6"/>
      <c r="G808" s="6"/>
      <c r="J808" s="6"/>
    </row>
    <row r="809">
      <c r="B809" s="6"/>
      <c r="C809" s="6"/>
      <c r="D809" s="6"/>
      <c r="E809" s="6"/>
      <c r="F809" s="6"/>
      <c r="G809" s="6"/>
      <c r="J809" s="6"/>
    </row>
    <row r="810">
      <c r="B810" s="6"/>
      <c r="C810" s="6"/>
      <c r="D810" s="6"/>
      <c r="E810" s="6"/>
      <c r="F810" s="6"/>
      <c r="G810" s="6"/>
      <c r="J810" s="6"/>
    </row>
    <row r="811">
      <c r="B811" s="6"/>
      <c r="C811" s="6"/>
      <c r="D811" s="6"/>
      <c r="E811" s="6"/>
      <c r="F811" s="6"/>
      <c r="G811" s="6"/>
      <c r="J811" s="6"/>
    </row>
    <row r="812">
      <c r="B812" s="6"/>
      <c r="C812" s="6"/>
      <c r="D812" s="6"/>
      <c r="E812" s="6"/>
      <c r="F812" s="6"/>
      <c r="G812" s="6"/>
      <c r="J812" s="6"/>
    </row>
    <row r="813">
      <c r="B813" s="6"/>
      <c r="C813" s="6"/>
      <c r="D813" s="6"/>
      <c r="E813" s="6"/>
      <c r="F813" s="6"/>
      <c r="G813" s="6"/>
      <c r="J813" s="6"/>
    </row>
    <row r="814">
      <c r="B814" s="6"/>
      <c r="C814" s="6"/>
      <c r="D814" s="6"/>
      <c r="E814" s="6"/>
      <c r="F814" s="6"/>
      <c r="G814" s="6"/>
      <c r="J814" s="6"/>
    </row>
    <row r="815">
      <c r="B815" s="6"/>
      <c r="C815" s="6"/>
      <c r="D815" s="6"/>
      <c r="E815" s="6"/>
      <c r="F815" s="6"/>
      <c r="G815" s="6"/>
      <c r="J815" s="6"/>
    </row>
    <row r="816">
      <c r="B816" s="6"/>
      <c r="C816" s="6"/>
      <c r="D816" s="6"/>
      <c r="E816" s="6"/>
      <c r="F816" s="6"/>
      <c r="G816" s="6"/>
      <c r="J816" s="6"/>
    </row>
    <row r="817">
      <c r="B817" s="6"/>
      <c r="C817" s="6"/>
      <c r="D817" s="6"/>
      <c r="E817" s="6"/>
      <c r="F817" s="6"/>
      <c r="G817" s="6"/>
      <c r="J817" s="6"/>
    </row>
    <row r="818">
      <c r="B818" s="6"/>
      <c r="C818" s="6"/>
      <c r="D818" s="6"/>
      <c r="E818" s="6"/>
      <c r="F818" s="6"/>
      <c r="G818" s="6"/>
      <c r="J818" s="6"/>
    </row>
    <row r="819">
      <c r="B819" s="6"/>
      <c r="C819" s="6"/>
      <c r="D819" s="6"/>
      <c r="E819" s="6"/>
      <c r="F819" s="6"/>
      <c r="G819" s="6"/>
      <c r="J819" s="6"/>
    </row>
    <row r="820">
      <c r="B820" s="6"/>
      <c r="C820" s="6"/>
      <c r="D820" s="6"/>
      <c r="E820" s="6"/>
      <c r="F820" s="6"/>
      <c r="G820" s="6"/>
      <c r="J820" s="6"/>
    </row>
    <row r="821">
      <c r="B821" s="6"/>
      <c r="C821" s="6"/>
      <c r="D821" s="6"/>
      <c r="E821" s="6"/>
      <c r="F821" s="6"/>
      <c r="G821" s="6"/>
      <c r="J821" s="6"/>
    </row>
    <row r="822">
      <c r="B822" s="6"/>
      <c r="C822" s="6"/>
      <c r="D822" s="6"/>
      <c r="E822" s="6"/>
      <c r="F822" s="6"/>
      <c r="G822" s="6"/>
      <c r="J822" s="6"/>
    </row>
    <row r="823">
      <c r="B823" s="6"/>
      <c r="C823" s="6"/>
      <c r="D823" s="6"/>
      <c r="E823" s="6"/>
      <c r="F823" s="6"/>
      <c r="G823" s="6"/>
      <c r="J823" s="6"/>
    </row>
    <row r="824">
      <c r="B824" s="6"/>
      <c r="C824" s="6"/>
      <c r="D824" s="6"/>
      <c r="E824" s="6"/>
      <c r="F824" s="6"/>
      <c r="G824" s="6"/>
      <c r="J824" s="6"/>
    </row>
    <row r="825">
      <c r="B825" s="6"/>
      <c r="C825" s="6"/>
      <c r="D825" s="6"/>
      <c r="E825" s="6"/>
      <c r="F825" s="6"/>
      <c r="G825" s="6"/>
      <c r="J825" s="6"/>
    </row>
    <row r="826">
      <c r="B826" s="6"/>
      <c r="C826" s="6"/>
      <c r="D826" s="6"/>
      <c r="E826" s="6"/>
      <c r="F826" s="6"/>
      <c r="G826" s="6"/>
      <c r="J826" s="6"/>
    </row>
    <row r="827">
      <c r="B827" s="6"/>
      <c r="C827" s="6"/>
      <c r="D827" s="6"/>
      <c r="E827" s="6"/>
      <c r="F827" s="6"/>
      <c r="G827" s="6"/>
      <c r="J827" s="6"/>
    </row>
    <row r="828">
      <c r="B828" s="6"/>
      <c r="C828" s="6"/>
      <c r="D828" s="6"/>
      <c r="E828" s="6"/>
      <c r="F828" s="6"/>
      <c r="G828" s="6"/>
      <c r="J828" s="6"/>
    </row>
    <row r="829">
      <c r="B829" s="6"/>
      <c r="C829" s="6"/>
      <c r="D829" s="6"/>
      <c r="E829" s="6"/>
      <c r="F829" s="6"/>
      <c r="G829" s="6"/>
      <c r="J829" s="6"/>
    </row>
    <row r="830">
      <c r="B830" s="6"/>
      <c r="C830" s="6"/>
      <c r="D830" s="6"/>
      <c r="E830" s="6"/>
      <c r="F830" s="6"/>
      <c r="G830" s="6"/>
      <c r="J830" s="6"/>
    </row>
    <row r="831">
      <c r="B831" s="6"/>
      <c r="C831" s="6"/>
      <c r="D831" s="6"/>
      <c r="E831" s="6"/>
      <c r="F831" s="6"/>
      <c r="G831" s="6"/>
      <c r="J831" s="6"/>
    </row>
    <row r="832">
      <c r="B832" s="6"/>
      <c r="C832" s="6"/>
      <c r="D832" s="6"/>
      <c r="E832" s="6"/>
      <c r="F832" s="6"/>
      <c r="G832" s="6"/>
      <c r="J832" s="6"/>
    </row>
    <row r="833">
      <c r="B833" s="6"/>
      <c r="C833" s="6"/>
      <c r="D833" s="6"/>
      <c r="E833" s="6"/>
      <c r="F833" s="6"/>
      <c r="G833" s="6"/>
      <c r="J833" s="6"/>
    </row>
    <row r="834">
      <c r="B834" s="6"/>
      <c r="C834" s="6"/>
      <c r="D834" s="6"/>
      <c r="E834" s="6"/>
      <c r="F834" s="6"/>
      <c r="G834" s="6"/>
      <c r="J834" s="6"/>
    </row>
    <row r="835">
      <c r="B835" s="6"/>
      <c r="C835" s="6"/>
      <c r="D835" s="6"/>
      <c r="E835" s="6"/>
      <c r="F835" s="6"/>
      <c r="G835" s="6"/>
      <c r="J835" s="6"/>
    </row>
    <row r="836">
      <c r="B836" s="6"/>
      <c r="C836" s="6"/>
      <c r="D836" s="6"/>
      <c r="E836" s="6"/>
      <c r="F836" s="6"/>
      <c r="G836" s="6"/>
      <c r="J836" s="6"/>
    </row>
    <row r="837">
      <c r="B837" s="6"/>
      <c r="C837" s="6"/>
      <c r="D837" s="6"/>
      <c r="E837" s="6"/>
      <c r="F837" s="6"/>
      <c r="G837" s="6"/>
      <c r="J837" s="6"/>
    </row>
    <row r="838">
      <c r="B838" s="6"/>
      <c r="C838" s="6"/>
      <c r="D838" s="6"/>
      <c r="E838" s="6"/>
      <c r="F838" s="6"/>
      <c r="G838" s="6"/>
      <c r="J838" s="6"/>
    </row>
    <row r="839">
      <c r="B839" s="6"/>
      <c r="C839" s="6"/>
      <c r="D839" s="6"/>
      <c r="E839" s="6"/>
      <c r="F839" s="6"/>
      <c r="G839" s="6"/>
      <c r="J839" s="6"/>
    </row>
    <row r="840">
      <c r="B840" s="6"/>
      <c r="C840" s="6"/>
      <c r="D840" s="6"/>
      <c r="E840" s="6"/>
      <c r="F840" s="6"/>
      <c r="G840" s="6"/>
      <c r="J840" s="6"/>
    </row>
    <row r="841">
      <c r="B841" s="6"/>
      <c r="C841" s="6"/>
      <c r="D841" s="6"/>
      <c r="E841" s="6"/>
      <c r="F841" s="6"/>
      <c r="G841" s="6"/>
      <c r="J841" s="6"/>
    </row>
    <row r="842">
      <c r="B842" s="6"/>
      <c r="C842" s="6"/>
      <c r="D842" s="6"/>
      <c r="E842" s="6"/>
      <c r="F842" s="6"/>
      <c r="G842" s="6"/>
      <c r="J842" s="6"/>
    </row>
    <row r="843">
      <c r="B843" s="6"/>
      <c r="C843" s="6"/>
      <c r="D843" s="6"/>
      <c r="E843" s="6"/>
      <c r="F843" s="6"/>
      <c r="G843" s="6"/>
      <c r="J843" s="6"/>
    </row>
    <row r="844">
      <c r="B844" s="6"/>
      <c r="C844" s="6"/>
      <c r="D844" s="6"/>
      <c r="E844" s="6"/>
      <c r="F844" s="6"/>
      <c r="G844" s="6"/>
      <c r="J844" s="6"/>
    </row>
    <row r="845">
      <c r="B845" s="6"/>
      <c r="C845" s="6"/>
      <c r="D845" s="6"/>
      <c r="E845" s="6"/>
      <c r="F845" s="6"/>
      <c r="G845" s="6"/>
      <c r="J845" s="6"/>
    </row>
    <row r="846">
      <c r="B846" s="6"/>
      <c r="C846" s="6"/>
      <c r="D846" s="6"/>
      <c r="E846" s="6"/>
      <c r="F846" s="6"/>
      <c r="G846" s="6"/>
      <c r="J846" s="6"/>
    </row>
    <row r="847">
      <c r="B847" s="6"/>
      <c r="C847" s="6"/>
      <c r="D847" s="6"/>
      <c r="E847" s="6"/>
      <c r="F847" s="6"/>
      <c r="G847" s="6"/>
      <c r="J847" s="6"/>
    </row>
    <row r="848">
      <c r="B848" s="6"/>
      <c r="C848" s="6"/>
      <c r="D848" s="6"/>
      <c r="E848" s="6"/>
      <c r="F848" s="6"/>
      <c r="G848" s="6"/>
      <c r="J848" s="6"/>
    </row>
    <row r="849">
      <c r="B849" s="6"/>
      <c r="C849" s="6"/>
      <c r="D849" s="6"/>
      <c r="E849" s="6"/>
      <c r="F849" s="6"/>
      <c r="G849" s="6"/>
      <c r="J849" s="6"/>
    </row>
    <row r="850">
      <c r="B850" s="6"/>
      <c r="C850" s="6"/>
      <c r="D850" s="6"/>
      <c r="E850" s="6"/>
      <c r="F850" s="6"/>
      <c r="G850" s="6"/>
      <c r="J850" s="6"/>
    </row>
    <row r="851">
      <c r="B851" s="6"/>
      <c r="C851" s="6"/>
      <c r="D851" s="6"/>
      <c r="E851" s="6"/>
      <c r="F851" s="6"/>
      <c r="G851" s="6"/>
      <c r="J851" s="6"/>
    </row>
    <row r="852">
      <c r="B852" s="6"/>
      <c r="C852" s="6"/>
      <c r="D852" s="6"/>
      <c r="E852" s="6"/>
      <c r="F852" s="6"/>
      <c r="G852" s="6"/>
      <c r="J852" s="6"/>
    </row>
    <row r="853">
      <c r="B853" s="6"/>
      <c r="C853" s="6"/>
      <c r="D853" s="6"/>
      <c r="E853" s="6"/>
      <c r="F853" s="6"/>
      <c r="G853" s="6"/>
      <c r="J853" s="6"/>
    </row>
    <row r="854">
      <c r="B854" s="6"/>
      <c r="C854" s="6"/>
      <c r="D854" s="6"/>
      <c r="E854" s="6"/>
      <c r="F854" s="6"/>
      <c r="G854" s="6"/>
      <c r="J854" s="6"/>
    </row>
    <row r="855">
      <c r="B855" s="6"/>
      <c r="C855" s="6"/>
      <c r="D855" s="6"/>
      <c r="E855" s="6"/>
      <c r="F855" s="6"/>
      <c r="G855" s="6"/>
      <c r="J855" s="6"/>
    </row>
    <row r="856">
      <c r="B856" s="6"/>
      <c r="C856" s="6"/>
      <c r="D856" s="6"/>
      <c r="E856" s="6"/>
      <c r="F856" s="6"/>
      <c r="G856" s="6"/>
      <c r="J856" s="6"/>
    </row>
    <row r="857">
      <c r="B857" s="6"/>
      <c r="C857" s="6"/>
      <c r="D857" s="6"/>
      <c r="E857" s="6"/>
      <c r="F857" s="6"/>
      <c r="G857" s="6"/>
      <c r="J857" s="6"/>
    </row>
    <row r="858">
      <c r="B858" s="6"/>
      <c r="C858" s="6"/>
      <c r="D858" s="6"/>
      <c r="E858" s="6"/>
      <c r="F858" s="6"/>
      <c r="G858" s="6"/>
      <c r="J858" s="6"/>
    </row>
    <row r="859">
      <c r="B859" s="6"/>
      <c r="C859" s="6"/>
      <c r="D859" s="6"/>
      <c r="E859" s="6"/>
      <c r="F859" s="6"/>
      <c r="G859" s="6"/>
      <c r="J859" s="6"/>
    </row>
    <row r="860">
      <c r="B860" s="6"/>
      <c r="C860" s="6"/>
      <c r="D860" s="6"/>
      <c r="E860" s="6"/>
      <c r="F860" s="6"/>
      <c r="G860" s="6"/>
      <c r="J860" s="6"/>
    </row>
    <row r="861">
      <c r="B861" s="6"/>
      <c r="C861" s="6"/>
      <c r="D861" s="6"/>
      <c r="E861" s="6"/>
      <c r="F861" s="6"/>
      <c r="G861" s="6"/>
      <c r="J861" s="6"/>
    </row>
    <row r="862">
      <c r="B862" s="6"/>
      <c r="C862" s="6"/>
      <c r="D862" s="6"/>
      <c r="E862" s="6"/>
      <c r="F862" s="6"/>
      <c r="G862" s="6"/>
      <c r="J862" s="6"/>
    </row>
    <row r="863">
      <c r="B863" s="6"/>
      <c r="C863" s="6"/>
      <c r="D863" s="6"/>
      <c r="E863" s="6"/>
      <c r="F863" s="6"/>
      <c r="G863" s="6"/>
      <c r="J863" s="6"/>
    </row>
    <row r="864">
      <c r="B864" s="6"/>
      <c r="C864" s="6"/>
      <c r="D864" s="6"/>
      <c r="E864" s="6"/>
      <c r="F864" s="6"/>
      <c r="G864" s="6"/>
      <c r="J864" s="6"/>
    </row>
    <row r="865">
      <c r="B865" s="6"/>
      <c r="C865" s="6"/>
      <c r="D865" s="6"/>
      <c r="E865" s="6"/>
      <c r="F865" s="6"/>
      <c r="G865" s="6"/>
      <c r="J865" s="6"/>
    </row>
    <row r="866">
      <c r="B866" s="6"/>
      <c r="C866" s="6"/>
      <c r="D866" s="6"/>
      <c r="E866" s="6"/>
      <c r="F866" s="6"/>
      <c r="G866" s="6"/>
      <c r="J866" s="6"/>
    </row>
    <row r="867">
      <c r="B867" s="6"/>
      <c r="C867" s="6"/>
      <c r="D867" s="6"/>
      <c r="E867" s="6"/>
      <c r="F867" s="6"/>
      <c r="G867" s="6"/>
      <c r="J867" s="6"/>
    </row>
    <row r="868">
      <c r="B868" s="6"/>
      <c r="C868" s="6"/>
      <c r="D868" s="6"/>
      <c r="E868" s="6"/>
      <c r="F868" s="6"/>
      <c r="G868" s="6"/>
      <c r="J868" s="6"/>
    </row>
    <row r="869">
      <c r="B869" s="6"/>
      <c r="C869" s="6"/>
      <c r="D869" s="6"/>
      <c r="E869" s="6"/>
      <c r="F869" s="6"/>
      <c r="G869" s="6"/>
      <c r="J869" s="6"/>
    </row>
    <row r="870">
      <c r="B870" s="6"/>
      <c r="C870" s="6"/>
      <c r="D870" s="6"/>
      <c r="E870" s="6"/>
      <c r="F870" s="6"/>
      <c r="G870" s="6"/>
      <c r="J870" s="6"/>
    </row>
    <row r="871">
      <c r="B871" s="6"/>
      <c r="C871" s="6"/>
      <c r="D871" s="6"/>
      <c r="E871" s="6"/>
      <c r="F871" s="6"/>
      <c r="G871" s="6"/>
      <c r="J871" s="6"/>
    </row>
    <row r="872">
      <c r="B872" s="6"/>
      <c r="C872" s="6"/>
      <c r="D872" s="6"/>
      <c r="E872" s="6"/>
      <c r="F872" s="6"/>
      <c r="G872" s="6"/>
      <c r="J872" s="6"/>
    </row>
    <row r="873">
      <c r="B873" s="6"/>
      <c r="C873" s="6"/>
      <c r="D873" s="6"/>
      <c r="E873" s="6"/>
      <c r="F873" s="6"/>
      <c r="G873" s="6"/>
      <c r="J873" s="6"/>
    </row>
    <row r="874">
      <c r="B874" s="6"/>
      <c r="C874" s="6"/>
      <c r="D874" s="6"/>
      <c r="E874" s="6"/>
      <c r="F874" s="6"/>
      <c r="G874" s="6"/>
      <c r="J874" s="6"/>
    </row>
    <row r="875">
      <c r="B875" s="6"/>
      <c r="C875" s="6"/>
      <c r="D875" s="6"/>
      <c r="E875" s="6"/>
      <c r="F875" s="6"/>
      <c r="G875" s="6"/>
      <c r="J875" s="6"/>
    </row>
    <row r="876">
      <c r="B876" s="6"/>
      <c r="C876" s="6"/>
      <c r="D876" s="6"/>
      <c r="E876" s="6"/>
      <c r="F876" s="6"/>
      <c r="G876" s="6"/>
      <c r="J876" s="6"/>
    </row>
    <row r="877">
      <c r="B877" s="6"/>
      <c r="C877" s="6"/>
      <c r="D877" s="6"/>
      <c r="E877" s="6"/>
      <c r="F877" s="6"/>
      <c r="G877" s="6"/>
      <c r="J877" s="6"/>
    </row>
    <row r="878">
      <c r="B878" s="6"/>
      <c r="C878" s="6"/>
      <c r="D878" s="6"/>
      <c r="E878" s="6"/>
      <c r="F878" s="6"/>
      <c r="G878" s="6"/>
      <c r="J878" s="6"/>
    </row>
    <row r="879">
      <c r="B879" s="6"/>
      <c r="C879" s="6"/>
      <c r="D879" s="6"/>
      <c r="E879" s="6"/>
      <c r="F879" s="6"/>
      <c r="G879" s="6"/>
      <c r="J879" s="6"/>
    </row>
    <row r="880">
      <c r="B880" s="6"/>
      <c r="C880" s="6"/>
      <c r="D880" s="6"/>
      <c r="E880" s="6"/>
      <c r="F880" s="6"/>
      <c r="G880" s="6"/>
      <c r="J880" s="6"/>
    </row>
    <row r="881">
      <c r="B881" s="6"/>
      <c r="C881" s="6"/>
      <c r="D881" s="6"/>
      <c r="E881" s="6"/>
      <c r="F881" s="6"/>
      <c r="G881" s="6"/>
      <c r="J881" s="6"/>
    </row>
    <row r="882">
      <c r="B882" s="6"/>
      <c r="C882" s="6"/>
      <c r="D882" s="6"/>
      <c r="E882" s="6"/>
      <c r="F882" s="6"/>
      <c r="G882" s="6"/>
      <c r="J882" s="6"/>
    </row>
    <row r="883">
      <c r="B883" s="6"/>
      <c r="C883" s="6"/>
      <c r="D883" s="6"/>
      <c r="E883" s="6"/>
      <c r="F883" s="6"/>
      <c r="G883" s="6"/>
      <c r="J883" s="6"/>
    </row>
    <row r="884">
      <c r="B884" s="6"/>
      <c r="C884" s="6"/>
      <c r="D884" s="6"/>
      <c r="E884" s="6"/>
      <c r="F884" s="6"/>
      <c r="G884" s="6"/>
      <c r="J884" s="6"/>
    </row>
    <row r="885">
      <c r="B885" s="6"/>
      <c r="C885" s="6"/>
      <c r="D885" s="6"/>
      <c r="E885" s="6"/>
      <c r="F885" s="6"/>
      <c r="G885" s="6"/>
      <c r="J885" s="6"/>
    </row>
    <row r="886">
      <c r="B886" s="6"/>
      <c r="C886" s="6"/>
      <c r="D886" s="6"/>
      <c r="E886" s="6"/>
      <c r="F886" s="6"/>
      <c r="G886" s="6"/>
      <c r="J886" s="6"/>
    </row>
    <row r="887">
      <c r="B887" s="6"/>
      <c r="C887" s="6"/>
      <c r="D887" s="6"/>
      <c r="E887" s="6"/>
      <c r="F887" s="6"/>
      <c r="G887" s="6"/>
      <c r="J887" s="6"/>
    </row>
    <row r="888">
      <c r="B888" s="6"/>
      <c r="C888" s="6"/>
      <c r="D888" s="6"/>
      <c r="E888" s="6"/>
      <c r="F888" s="6"/>
      <c r="G888" s="6"/>
      <c r="J888" s="6"/>
    </row>
    <row r="889">
      <c r="B889" s="6"/>
      <c r="C889" s="6"/>
      <c r="D889" s="6"/>
      <c r="E889" s="6"/>
      <c r="F889" s="6"/>
      <c r="G889" s="6"/>
      <c r="J889" s="6"/>
    </row>
    <row r="890">
      <c r="B890" s="6"/>
      <c r="C890" s="6"/>
      <c r="D890" s="6"/>
      <c r="E890" s="6"/>
      <c r="F890" s="6"/>
      <c r="G890" s="6"/>
      <c r="J890" s="6"/>
    </row>
    <row r="891">
      <c r="B891" s="6"/>
      <c r="C891" s="6"/>
      <c r="D891" s="6"/>
      <c r="E891" s="6"/>
      <c r="F891" s="6"/>
      <c r="G891" s="6"/>
      <c r="J891" s="6"/>
    </row>
    <row r="892">
      <c r="B892" s="6"/>
      <c r="C892" s="6"/>
      <c r="D892" s="6"/>
      <c r="E892" s="6"/>
      <c r="F892" s="6"/>
      <c r="G892" s="6"/>
      <c r="J892" s="6"/>
    </row>
    <row r="893">
      <c r="B893" s="6"/>
      <c r="C893" s="6"/>
      <c r="D893" s="6"/>
      <c r="E893" s="6"/>
      <c r="F893" s="6"/>
      <c r="G893" s="6"/>
      <c r="J893" s="6"/>
    </row>
    <row r="894">
      <c r="B894" s="6"/>
      <c r="C894" s="6"/>
      <c r="D894" s="6"/>
      <c r="E894" s="6"/>
      <c r="F894" s="6"/>
      <c r="G894" s="6"/>
      <c r="J894" s="6"/>
    </row>
    <row r="895">
      <c r="B895" s="6"/>
      <c r="C895" s="6"/>
      <c r="D895" s="6"/>
      <c r="E895" s="6"/>
      <c r="F895" s="6"/>
      <c r="G895" s="6"/>
      <c r="J895" s="6"/>
    </row>
    <row r="896">
      <c r="B896" s="6"/>
      <c r="C896" s="6"/>
      <c r="D896" s="6"/>
      <c r="E896" s="6"/>
      <c r="F896" s="6"/>
      <c r="G896" s="6"/>
      <c r="J896" s="6"/>
    </row>
    <row r="897">
      <c r="B897" s="6"/>
      <c r="C897" s="6"/>
      <c r="D897" s="6"/>
      <c r="E897" s="6"/>
      <c r="F897" s="6"/>
      <c r="G897" s="6"/>
      <c r="J897" s="6"/>
    </row>
    <row r="898">
      <c r="B898" s="6"/>
      <c r="C898" s="6"/>
      <c r="D898" s="6"/>
      <c r="E898" s="6"/>
      <c r="F898" s="6"/>
      <c r="G898" s="6"/>
      <c r="J898" s="6"/>
    </row>
    <row r="899">
      <c r="B899" s="6"/>
      <c r="C899" s="6"/>
      <c r="D899" s="6"/>
      <c r="E899" s="6"/>
      <c r="F899" s="6"/>
      <c r="G899" s="6"/>
      <c r="J899" s="6"/>
    </row>
    <row r="900">
      <c r="B900" s="6"/>
      <c r="C900" s="6"/>
      <c r="D900" s="6"/>
      <c r="E900" s="6"/>
      <c r="F900" s="6"/>
      <c r="G900" s="6"/>
      <c r="J900" s="6"/>
    </row>
    <row r="901">
      <c r="B901" s="6"/>
      <c r="C901" s="6"/>
      <c r="D901" s="6"/>
      <c r="E901" s="6"/>
      <c r="F901" s="6"/>
      <c r="G901" s="6"/>
      <c r="J901" s="6"/>
    </row>
    <row r="902">
      <c r="B902" s="6"/>
      <c r="C902" s="6"/>
      <c r="D902" s="6"/>
      <c r="E902" s="6"/>
      <c r="F902" s="6"/>
      <c r="G902" s="6"/>
      <c r="J902" s="6"/>
    </row>
    <row r="903">
      <c r="B903" s="6"/>
      <c r="C903" s="6"/>
      <c r="D903" s="6"/>
      <c r="E903" s="6"/>
      <c r="F903" s="6"/>
      <c r="G903" s="6"/>
      <c r="J903" s="6"/>
    </row>
    <row r="904">
      <c r="B904" s="6"/>
      <c r="C904" s="6"/>
      <c r="D904" s="6"/>
      <c r="E904" s="6"/>
      <c r="F904" s="6"/>
      <c r="G904" s="6"/>
      <c r="J904" s="6"/>
    </row>
    <row r="905">
      <c r="B905" s="6"/>
      <c r="C905" s="6"/>
      <c r="D905" s="6"/>
      <c r="E905" s="6"/>
      <c r="F905" s="6"/>
      <c r="G905" s="6"/>
      <c r="J905" s="6"/>
    </row>
    <row r="906">
      <c r="B906" s="6"/>
      <c r="C906" s="6"/>
      <c r="D906" s="6"/>
      <c r="E906" s="6"/>
      <c r="F906" s="6"/>
      <c r="G906" s="6"/>
      <c r="J906" s="6"/>
    </row>
    <row r="907">
      <c r="B907" s="6"/>
      <c r="C907" s="6"/>
      <c r="D907" s="6"/>
      <c r="E907" s="6"/>
      <c r="F907" s="6"/>
      <c r="G907" s="6"/>
      <c r="J907" s="6"/>
    </row>
    <row r="908">
      <c r="B908" s="6"/>
      <c r="C908" s="6"/>
      <c r="D908" s="6"/>
      <c r="E908" s="6"/>
      <c r="F908" s="6"/>
      <c r="G908" s="6"/>
      <c r="J908" s="6"/>
    </row>
    <row r="909">
      <c r="B909" s="6"/>
      <c r="C909" s="6"/>
      <c r="D909" s="6"/>
      <c r="E909" s="6"/>
      <c r="F909" s="6"/>
      <c r="G909" s="6"/>
      <c r="J909" s="6"/>
    </row>
    <row r="910">
      <c r="B910" s="6"/>
      <c r="C910" s="6"/>
      <c r="D910" s="6"/>
      <c r="E910" s="6"/>
      <c r="F910" s="6"/>
      <c r="G910" s="6"/>
      <c r="J910" s="6"/>
    </row>
    <row r="911">
      <c r="B911" s="6"/>
      <c r="C911" s="6"/>
      <c r="D911" s="6"/>
      <c r="E911" s="6"/>
      <c r="F911" s="6"/>
      <c r="G911" s="6"/>
      <c r="J911" s="6"/>
    </row>
    <row r="912">
      <c r="B912" s="6"/>
      <c r="C912" s="6"/>
      <c r="D912" s="6"/>
      <c r="E912" s="6"/>
      <c r="F912" s="6"/>
      <c r="G912" s="6"/>
      <c r="J912" s="6"/>
    </row>
    <row r="913">
      <c r="B913" s="6"/>
      <c r="C913" s="6"/>
      <c r="D913" s="6"/>
      <c r="E913" s="6"/>
      <c r="F913" s="6"/>
      <c r="G913" s="6"/>
      <c r="J913" s="6"/>
    </row>
    <row r="914">
      <c r="B914" s="6"/>
      <c r="C914" s="6"/>
      <c r="D914" s="6"/>
      <c r="E914" s="6"/>
      <c r="F914" s="6"/>
      <c r="G914" s="6"/>
      <c r="J914" s="6"/>
    </row>
    <row r="915">
      <c r="B915" s="6"/>
      <c r="C915" s="6"/>
      <c r="D915" s="6"/>
      <c r="E915" s="6"/>
      <c r="F915" s="6"/>
      <c r="G915" s="6"/>
      <c r="J915" s="6"/>
    </row>
    <row r="916">
      <c r="B916" s="6"/>
      <c r="C916" s="6"/>
      <c r="D916" s="6"/>
      <c r="E916" s="6"/>
      <c r="F916" s="6"/>
      <c r="G916" s="6"/>
      <c r="J916" s="6"/>
    </row>
    <row r="917">
      <c r="B917" s="6"/>
      <c r="C917" s="6"/>
      <c r="D917" s="6"/>
      <c r="E917" s="6"/>
      <c r="F917" s="6"/>
      <c r="G917" s="6"/>
      <c r="J917" s="6"/>
    </row>
    <row r="918">
      <c r="B918" s="6"/>
      <c r="C918" s="6"/>
      <c r="D918" s="6"/>
      <c r="E918" s="6"/>
      <c r="F918" s="6"/>
      <c r="G918" s="6"/>
      <c r="J918" s="6"/>
    </row>
    <row r="919">
      <c r="B919" s="6"/>
      <c r="C919" s="6"/>
      <c r="D919" s="6"/>
      <c r="E919" s="6"/>
      <c r="F919" s="6"/>
      <c r="G919" s="6"/>
      <c r="J919" s="6"/>
    </row>
    <row r="920">
      <c r="B920" s="6"/>
      <c r="C920" s="6"/>
      <c r="D920" s="6"/>
      <c r="E920" s="6"/>
      <c r="F920" s="6"/>
      <c r="G920" s="6"/>
      <c r="J920" s="6"/>
    </row>
    <row r="921">
      <c r="B921" s="6"/>
      <c r="C921" s="6"/>
      <c r="D921" s="6"/>
      <c r="E921" s="6"/>
      <c r="F921" s="6"/>
      <c r="G921" s="6"/>
      <c r="J921" s="6"/>
    </row>
    <row r="922">
      <c r="B922" s="6"/>
      <c r="C922" s="6"/>
      <c r="D922" s="6"/>
      <c r="E922" s="6"/>
      <c r="F922" s="6"/>
      <c r="G922" s="6"/>
      <c r="J922" s="6"/>
    </row>
    <row r="923">
      <c r="B923" s="6"/>
      <c r="C923" s="6"/>
      <c r="D923" s="6"/>
      <c r="E923" s="6"/>
      <c r="F923" s="6"/>
      <c r="G923" s="6"/>
      <c r="J923" s="6"/>
    </row>
    <row r="924">
      <c r="B924" s="6"/>
      <c r="C924" s="6"/>
      <c r="D924" s="6"/>
      <c r="E924" s="6"/>
      <c r="F924" s="6"/>
      <c r="G924" s="6"/>
      <c r="J924" s="6"/>
    </row>
    <row r="925">
      <c r="B925" s="6"/>
      <c r="C925" s="6"/>
      <c r="D925" s="6"/>
      <c r="E925" s="6"/>
      <c r="F925" s="6"/>
      <c r="G925" s="6"/>
      <c r="J925" s="6"/>
    </row>
    <row r="926">
      <c r="B926" s="6"/>
      <c r="C926" s="6"/>
      <c r="D926" s="6"/>
      <c r="E926" s="6"/>
      <c r="F926" s="6"/>
      <c r="G926" s="6"/>
      <c r="J926" s="6"/>
    </row>
    <row r="927">
      <c r="B927" s="6"/>
      <c r="C927" s="6"/>
      <c r="D927" s="6"/>
      <c r="E927" s="6"/>
      <c r="F927" s="6"/>
      <c r="G927" s="6"/>
      <c r="J927" s="6"/>
    </row>
    <row r="928">
      <c r="B928" s="6"/>
      <c r="C928" s="6"/>
      <c r="D928" s="6"/>
      <c r="E928" s="6"/>
      <c r="F928" s="6"/>
      <c r="G928" s="6"/>
      <c r="J928" s="6"/>
    </row>
    <row r="929">
      <c r="B929" s="6"/>
      <c r="C929" s="6"/>
      <c r="D929" s="6"/>
      <c r="E929" s="6"/>
      <c r="F929" s="6"/>
      <c r="G929" s="6"/>
      <c r="J929" s="6"/>
    </row>
    <row r="930">
      <c r="B930" s="6"/>
      <c r="C930" s="6"/>
      <c r="D930" s="6"/>
      <c r="E930" s="6"/>
      <c r="F930" s="6"/>
      <c r="G930" s="6"/>
      <c r="J930" s="6"/>
    </row>
    <row r="931">
      <c r="B931" s="6"/>
      <c r="C931" s="6"/>
      <c r="D931" s="6"/>
      <c r="E931" s="6"/>
      <c r="F931" s="6"/>
      <c r="G931" s="6"/>
      <c r="J931" s="6"/>
    </row>
    <row r="932">
      <c r="B932" s="6"/>
      <c r="C932" s="6"/>
      <c r="D932" s="6"/>
      <c r="E932" s="6"/>
      <c r="F932" s="6"/>
      <c r="G932" s="6"/>
      <c r="J932" s="6"/>
    </row>
    <row r="933">
      <c r="B933" s="6"/>
      <c r="C933" s="6"/>
      <c r="D933" s="6"/>
      <c r="E933" s="6"/>
      <c r="F933" s="6"/>
      <c r="G933" s="6"/>
      <c r="J933" s="6"/>
    </row>
    <row r="934">
      <c r="B934" s="6"/>
      <c r="C934" s="6"/>
      <c r="D934" s="6"/>
      <c r="E934" s="6"/>
      <c r="F934" s="6"/>
      <c r="G934" s="6"/>
      <c r="J934" s="6"/>
    </row>
    <row r="935">
      <c r="B935" s="6"/>
      <c r="C935" s="6"/>
      <c r="D935" s="6"/>
      <c r="E935" s="6"/>
      <c r="F935" s="6"/>
      <c r="G935" s="6"/>
      <c r="J935" s="6"/>
    </row>
    <row r="936">
      <c r="B936" s="6"/>
      <c r="C936" s="6"/>
      <c r="D936" s="6"/>
      <c r="E936" s="6"/>
      <c r="F936" s="6"/>
      <c r="G936" s="6"/>
      <c r="J936" s="6"/>
    </row>
    <row r="937">
      <c r="B937" s="6"/>
      <c r="C937" s="6"/>
      <c r="D937" s="6"/>
      <c r="E937" s="6"/>
      <c r="F937" s="6"/>
      <c r="G937" s="6"/>
      <c r="J937" s="6"/>
    </row>
    <row r="938">
      <c r="B938" s="6"/>
      <c r="C938" s="6"/>
      <c r="D938" s="6"/>
      <c r="E938" s="6"/>
      <c r="F938" s="6"/>
      <c r="G938" s="6"/>
      <c r="J938" s="6"/>
    </row>
    <row r="939">
      <c r="B939" s="6"/>
      <c r="C939" s="6"/>
      <c r="D939" s="6"/>
      <c r="E939" s="6"/>
      <c r="F939" s="6"/>
      <c r="G939" s="6"/>
      <c r="J939" s="6"/>
    </row>
    <row r="940">
      <c r="B940" s="6"/>
      <c r="C940" s="6"/>
      <c r="D940" s="6"/>
      <c r="E940" s="6"/>
      <c r="F940" s="6"/>
      <c r="G940" s="6"/>
      <c r="J940" s="6"/>
    </row>
    <row r="941">
      <c r="B941" s="6"/>
      <c r="C941" s="6"/>
      <c r="D941" s="6"/>
      <c r="E941" s="6"/>
      <c r="F941" s="6"/>
      <c r="G941" s="6"/>
      <c r="J941" s="6"/>
    </row>
    <row r="942">
      <c r="B942" s="6"/>
      <c r="C942" s="6"/>
      <c r="D942" s="6"/>
      <c r="E942" s="6"/>
      <c r="F942" s="6"/>
      <c r="G942" s="6"/>
      <c r="J942" s="6"/>
    </row>
    <row r="943">
      <c r="B943" s="6"/>
      <c r="C943" s="6"/>
      <c r="D943" s="6"/>
      <c r="E943" s="6"/>
      <c r="F943" s="6"/>
      <c r="G943" s="6"/>
      <c r="J943" s="6"/>
    </row>
    <row r="944">
      <c r="B944" s="6"/>
      <c r="C944" s="6"/>
      <c r="D944" s="6"/>
      <c r="E944" s="6"/>
      <c r="F944" s="6"/>
      <c r="G944" s="6"/>
      <c r="J944" s="6"/>
    </row>
    <row r="945">
      <c r="B945" s="6"/>
      <c r="C945" s="6"/>
      <c r="D945" s="6"/>
      <c r="E945" s="6"/>
      <c r="F945" s="6"/>
      <c r="G945" s="6"/>
      <c r="J945" s="6"/>
    </row>
    <row r="946">
      <c r="B946" s="6"/>
      <c r="C946" s="6"/>
      <c r="D946" s="6"/>
      <c r="E946" s="6"/>
      <c r="F946" s="6"/>
      <c r="G946" s="6"/>
      <c r="J946" s="6"/>
    </row>
    <row r="947">
      <c r="B947" s="6"/>
      <c r="C947" s="6"/>
      <c r="D947" s="6"/>
      <c r="E947" s="6"/>
      <c r="F947" s="6"/>
      <c r="G947" s="6"/>
      <c r="J947" s="6"/>
    </row>
    <row r="948">
      <c r="B948" s="6"/>
      <c r="C948" s="6"/>
      <c r="D948" s="6"/>
      <c r="E948" s="6"/>
      <c r="F948" s="6"/>
      <c r="G948" s="6"/>
      <c r="J948" s="6"/>
    </row>
    <row r="949">
      <c r="B949" s="6"/>
      <c r="C949" s="6"/>
      <c r="D949" s="6"/>
      <c r="E949" s="6"/>
      <c r="F949" s="6"/>
      <c r="G949" s="6"/>
      <c r="J949" s="6"/>
    </row>
    <row r="950">
      <c r="B950" s="6"/>
      <c r="C950" s="6"/>
      <c r="D950" s="6"/>
      <c r="E950" s="6"/>
      <c r="F950" s="6"/>
      <c r="G950" s="6"/>
      <c r="J950" s="6"/>
    </row>
    <row r="951">
      <c r="B951" s="6"/>
      <c r="C951" s="6"/>
      <c r="D951" s="6"/>
      <c r="E951" s="6"/>
      <c r="F951" s="6"/>
      <c r="G951" s="6"/>
      <c r="J951" s="6"/>
    </row>
    <row r="952">
      <c r="B952" s="6"/>
      <c r="C952" s="6"/>
      <c r="D952" s="6"/>
      <c r="E952" s="6"/>
      <c r="F952" s="6"/>
      <c r="G952" s="6"/>
      <c r="J952" s="6"/>
    </row>
    <row r="953">
      <c r="B953" s="6"/>
      <c r="C953" s="6"/>
      <c r="D953" s="6"/>
      <c r="E953" s="6"/>
      <c r="F953" s="6"/>
      <c r="G953" s="6"/>
      <c r="J953" s="6"/>
    </row>
    <row r="954">
      <c r="B954" s="6"/>
      <c r="C954" s="6"/>
      <c r="D954" s="6"/>
      <c r="E954" s="6"/>
      <c r="F954" s="6"/>
      <c r="G954" s="6"/>
      <c r="J954" s="6"/>
    </row>
    <row r="955">
      <c r="B955" s="6"/>
      <c r="C955" s="6"/>
      <c r="D955" s="6"/>
      <c r="E955" s="6"/>
      <c r="F955" s="6"/>
      <c r="G955" s="6"/>
      <c r="J955" s="6"/>
    </row>
    <row r="956">
      <c r="B956" s="6"/>
      <c r="C956" s="6"/>
      <c r="D956" s="6"/>
      <c r="E956" s="6"/>
      <c r="F956" s="6"/>
      <c r="G956" s="6"/>
      <c r="J956" s="6"/>
    </row>
    <row r="957">
      <c r="B957" s="6"/>
      <c r="C957" s="6"/>
      <c r="D957" s="6"/>
      <c r="E957" s="6"/>
      <c r="F957" s="6"/>
      <c r="G957" s="6"/>
      <c r="J957" s="6"/>
    </row>
    <row r="958">
      <c r="B958" s="6"/>
      <c r="C958" s="6"/>
      <c r="D958" s="6"/>
      <c r="E958" s="6"/>
      <c r="F958" s="6"/>
      <c r="G958" s="6"/>
      <c r="J958" s="6"/>
    </row>
    <row r="959">
      <c r="B959" s="6"/>
      <c r="C959" s="6"/>
      <c r="D959" s="6"/>
      <c r="E959" s="6"/>
      <c r="F959" s="6"/>
      <c r="G959" s="6"/>
      <c r="J959" s="6"/>
    </row>
    <row r="960">
      <c r="B960" s="6"/>
      <c r="C960" s="6"/>
      <c r="D960" s="6"/>
      <c r="E960" s="6"/>
      <c r="F960" s="6"/>
      <c r="G960" s="6"/>
      <c r="J960" s="6"/>
    </row>
    <row r="961">
      <c r="B961" s="6"/>
      <c r="C961" s="6"/>
      <c r="D961" s="6"/>
      <c r="E961" s="6"/>
      <c r="F961" s="6"/>
      <c r="G961" s="6"/>
      <c r="J961" s="6"/>
    </row>
    <row r="962">
      <c r="B962" s="6"/>
      <c r="C962" s="6"/>
      <c r="D962" s="6"/>
      <c r="E962" s="6"/>
      <c r="F962" s="6"/>
      <c r="G962" s="6"/>
      <c r="J962" s="6"/>
    </row>
    <row r="963">
      <c r="B963" s="6"/>
      <c r="C963" s="6"/>
      <c r="D963" s="6"/>
      <c r="E963" s="6"/>
      <c r="F963" s="6"/>
      <c r="G963" s="6"/>
      <c r="J963" s="6"/>
    </row>
    <row r="964">
      <c r="B964" s="6"/>
      <c r="C964" s="6"/>
      <c r="D964" s="6"/>
      <c r="E964" s="6"/>
      <c r="F964" s="6"/>
      <c r="G964" s="6"/>
      <c r="J964" s="6"/>
    </row>
    <row r="965">
      <c r="B965" s="6"/>
      <c r="C965" s="6"/>
      <c r="D965" s="6"/>
      <c r="E965" s="6"/>
      <c r="F965" s="6"/>
      <c r="G965" s="6"/>
      <c r="J965" s="6"/>
    </row>
    <row r="966">
      <c r="B966" s="6"/>
      <c r="C966" s="6"/>
      <c r="D966" s="6"/>
      <c r="E966" s="6"/>
      <c r="F966" s="6"/>
      <c r="G966" s="6"/>
      <c r="J966" s="6"/>
    </row>
    <row r="967">
      <c r="B967" s="6"/>
      <c r="C967" s="6"/>
      <c r="D967" s="6"/>
      <c r="E967" s="6"/>
      <c r="F967" s="6"/>
      <c r="G967" s="6"/>
      <c r="J967" s="6"/>
    </row>
    <row r="968">
      <c r="B968" s="6"/>
      <c r="C968" s="6"/>
      <c r="D968" s="6"/>
      <c r="E968" s="6"/>
      <c r="F968" s="6"/>
      <c r="G968" s="6"/>
      <c r="J968" s="6"/>
    </row>
    <row r="969">
      <c r="B969" s="6"/>
      <c r="C969" s="6"/>
      <c r="D969" s="6"/>
      <c r="E969" s="6"/>
      <c r="F969" s="6"/>
      <c r="G969" s="6"/>
      <c r="J969" s="6"/>
    </row>
    <row r="970">
      <c r="B970" s="6"/>
      <c r="C970" s="6"/>
      <c r="D970" s="6"/>
      <c r="E970" s="6"/>
      <c r="F970" s="6"/>
      <c r="G970" s="6"/>
      <c r="J970" s="6"/>
    </row>
    <row r="971">
      <c r="B971" s="6"/>
      <c r="C971" s="6"/>
      <c r="D971" s="6"/>
      <c r="E971" s="6"/>
      <c r="F971" s="6"/>
      <c r="G971" s="6"/>
      <c r="J971" s="6"/>
    </row>
    <row r="972">
      <c r="B972" s="6"/>
      <c r="C972" s="6"/>
      <c r="D972" s="6"/>
      <c r="E972" s="6"/>
      <c r="F972" s="6"/>
      <c r="G972" s="6"/>
      <c r="J972" s="6"/>
    </row>
    <row r="973">
      <c r="B973" s="6"/>
      <c r="C973" s="6"/>
      <c r="D973" s="6"/>
      <c r="E973" s="6"/>
      <c r="F973" s="6"/>
      <c r="G973" s="6"/>
      <c r="J973" s="6"/>
    </row>
    <row r="974">
      <c r="B974" s="6"/>
      <c r="C974" s="6"/>
      <c r="D974" s="6"/>
      <c r="E974" s="6"/>
      <c r="F974" s="6"/>
      <c r="G974" s="6"/>
      <c r="J974" s="6"/>
    </row>
    <row r="975">
      <c r="B975" s="6"/>
      <c r="C975" s="6"/>
      <c r="D975" s="6"/>
      <c r="E975" s="6"/>
      <c r="F975" s="6"/>
      <c r="G975" s="6"/>
      <c r="J975" s="6"/>
    </row>
    <row r="976">
      <c r="B976" s="6"/>
      <c r="C976" s="6"/>
      <c r="D976" s="6"/>
      <c r="E976" s="6"/>
      <c r="F976" s="6"/>
      <c r="G976" s="6"/>
      <c r="J976" s="6"/>
    </row>
    <row r="977">
      <c r="B977" s="6"/>
      <c r="C977" s="6"/>
      <c r="D977" s="6"/>
      <c r="E977" s="6"/>
      <c r="F977" s="6"/>
      <c r="G977" s="6"/>
      <c r="J977" s="6"/>
    </row>
    <row r="978">
      <c r="B978" s="6"/>
      <c r="C978" s="6"/>
      <c r="D978" s="6"/>
      <c r="E978" s="6"/>
      <c r="F978" s="6"/>
      <c r="G978" s="6"/>
      <c r="J978" s="6"/>
    </row>
    <row r="979">
      <c r="B979" s="6"/>
      <c r="C979" s="6"/>
      <c r="D979" s="6"/>
      <c r="E979" s="6"/>
      <c r="F979" s="6"/>
      <c r="G979" s="6"/>
      <c r="J979" s="6"/>
    </row>
    <row r="980">
      <c r="B980" s="6"/>
      <c r="C980" s="6"/>
      <c r="D980" s="6"/>
      <c r="E980" s="6"/>
      <c r="F980" s="6"/>
      <c r="G980" s="6"/>
      <c r="J980" s="6"/>
    </row>
    <row r="981">
      <c r="B981" s="6"/>
      <c r="C981" s="6"/>
      <c r="D981" s="6"/>
      <c r="E981" s="6"/>
      <c r="F981" s="6"/>
      <c r="G981" s="6"/>
      <c r="J981" s="6"/>
    </row>
    <row r="982">
      <c r="B982" s="6"/>
      <c r="C982" s="6"/>
      <c r="D982" s="6"/>
      <c r="E982" s="6"/>
      <c r="F982" s="6"/>
      <c r="G982" s="6"/>
      <c r="J982" s="6"/>
    </row>
    <row r="983">
      <c r="B983" s="6"/>
      <c r="C983" s="6"/>
      <c r="D983" s="6"/>
      <c r="E983" s="6"/>
      <c r="F983" s="6"/>
      <c r="G983" s="6"/>
      <c r="J983" s="6"/>
    </row>
    <row r="984">
      <c r="B984" s="6"/>
      <c r="C984" s="6"/>
      <c r="D984" s="6"/>
      <c r="E984" s="6"/>
      <c r="F984" s="6"/>
      <c r="G984" s="6"/>
      <c r="J984" s="6"/>
    </row>
    <row r="985">
      <c r="B985" s="6"/>
      <c r="C985" s="6"/>
      <c r="D985" s="6"/>
      <c r="E985" s="6"/>
      <c r="F985" s="6"/>
      <c r="G985" s="6"/>
      <c r="J985" s="6"/>
    </row>
    <row r="986">
      <c r="B986" s="6"/>
      <c r="C986" s="6"/>
      <c r="D986" s="6"/>
      <c r="E986" s="6"/>
      <c r="F986" s="6"/>
      <c r="G986" s="6"/>
      <c r="J986" s="6"/>
    </row>
    <row r="987">
      <c r="B987" s="6"/>
      <c r="C987" s="6"/>
      <c r="D987" s="6"/>
      <c r="E987" s="6"/>
      <c r="F987" s="6"/>
      <c r="G987" s="6"/>
      <c r="J987" s="6"/>
    </row>
    <row r="988">
      <c r="B988" s="6"/>
      <c r="C988" s="6"/>
      <c r="D988" s="6"/>
      <c r="E988" s="6"/>
      <c r="F988" s="6"/>
      <c r="G988" s="6"/>
      <c r="J988" s="6"/>
    </row>
    <row r="989">
      <c r="B989" s="6"/>
      <c r="C989" s="6"/>
      <c r="D989" s="6"/>
      <c r="E989" s="6"/>
      <c r="F989" s="6"/>
      <c r="G989" s="6"/>
      <c r="J989" s="6"/>
    </row>
    <row r="990">
      <c r="B990" s="6"/>
      <c r="C990" s="6"/>
      <c r="D990" s="6"/>
      <c r="E990" s="6"/>
      <c r="F990" s="6"/>
      <c r="G990" s="6"/>
      <c r="J990" s="6"/>
    </row>
    <row r="991">
      <c r="B991" s="6"/>
      <c r="C991" s="6"/>
      <c r="D991" s="6"/>
      <c r="E991" s="6"/>
      <c r="F991" s="6"/>
      <c r="G991" s="6"/>
      <c r="J991" s="6"/>
    </row>
    <row r="992">
      <c r="B992" s="6"/>
      <c r="C992" s="6"/>
      <c r="D992" s="6"/>
      <c r="E992" s="6"/>
      <c r="F992" s="6"/>
      <c r="G992" s="6"/>
      <c r="J992" s="6"/>
    </row>
    <row r="993">
      <c r="B993" s="6"/>
      <c r="C993" s="6"/>
      <c r="D993" s="6"/>
      <c r="E993" s="6"/>
      <c r="F993" s="6"/>
      <c r="G993" s="6"/>
      <c r="J993" s="6"/>
    </row>
    <row r="994">
      <c r="B994" s="6"/>
      <c r="C994" s="6"/>
      <c r="D994" s="6"/>
      <c r="E994" s="6"/>
      <c r="F994" s="6"/>
      <c r="G994" s="6"/>
      <c r="J994" s="6"/>
    </row>
    <row r="995">
      <c r="B995" s="6"/>
      <c r="C995" s="6"/>
      <c r="D995" s="6"/>
      <c r="E995" s="6"/>
      <c r="F995" s="6"/>
      <c r="G995" s="6"/>
      <c r="J995" s="6"/>
    </row>
    <row r="996">
      <c r="B996" s="6"/>
      <c r="C996" s="6"/>
      <c r="D996" s="6"/>
      <c r="E996" s="6"/>
      <c r="F996" s="6"/>
      <c r="G996" s="6"/>
      <c r="J996" s="6"/>
    </row>
    <row r="997">
      <c r="B997" s="6"/>
      <c r="C997" s="6"/>
      <c r="D997" s="6"/>
      <c r="E997" s="6"/>
      <c r="F997" s="6"/>
      <c r="G997" s="6"/>
      <c r="J997" s="6"/>
    </row>
    <row r="998">
      <c r="B998" s="6"/>
      <c r="C998" s="6"/>
      <c r="D998" s="6"/>
      <c r="E998" s="6"/>
      <c r="F998" s="6"/>
      <c r="G998" s="6"/>
      <c r="J998" s="6"/>
    </row>
    <row r="999">
      <c r="B999" s="6"/>
      <c r="C999" s="6"/>
      <c r="D999" s="6"/>
      <c r="E999" s="6"/>
      <c r="F999" s="6"/>
      <c r="G999" s="6"/>
      <c r="J999" s="6"/>
    </row>
    <row r="1000">
      <c r="B1000" s="6"/>
      <c r="C1000" s="6"/>
      <c r="D1000" s="6"/>
      <c r="E1000" s="6"/>
      <c r="F1000" s="6"/>
      <c r="G1000" s="6"/>
      <c r="J1000" s="6"/>
    </row>
  </sheetData>
  <drawing r:id="rId1"/>
</worksheet>
</file>